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5.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7.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ables/table2.xml" ContentType="application/vnd.openxmlformats-officedocument.spreadsheetml.table+xml"/>
  <Override PartName="/xl/drawings/drawing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9.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10.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11.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12.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3.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14.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15.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16.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25" codeName="{E5D1E7B1-6628-F0F0-D09B-76B25B5F3CD3}"/>
  <workbookPr codeName="ThisWorkbook"/>
  <mc:AlternateContent xmlns:mc="http://schemas.openxmlformats.org/markup-compatibility/2006">
    <mc:Choice Requires="x15">
      <x15ac:absPath xmlns:x15ac="http://schemas.microsoft.com/office/spreadsheetml/2010/11/ac" url="https://releafcarbon-my.sharepoint.com/personal/guillaumetant_releafcarbon_com/Documents/Releaf/2. Commercial/1. Clients/28. SAUR/SAUR France/3. Outils/5. Contrat - XXX/3. Traitement/"/>
    </mc:Choice>
  </mc:AlternateContent>
  <xr:revisionPtr revIDLastSave="894" documentId="8_{41C0114E-9E71-0146-A6FF-AE3953E8C524}" xr6:coauthVersionLast="47" xr6:coauthVersionMax="47" xr10:uidLastSave="{A47EF29B-E7A8-EA42-A46A-C7D4DD0F8924}"/>
  <bookViews>
    <workbookView xWindow="30240" yWindow="500" windowWidth="38400" windowHeight="21100" activeTab="6" xr2:uid="{00000000-000D-0000-FFFF-FFFF00000000}"/>
  </bookViews>
  <sheets>
    <sheet name="INITIALISATION" sheetId="20" r:id="rId1"/>
    <sheet name="DATA" sheetId="21" r:id="rId2"/>
    <sheet name="Indicateurs" sheetId="16" r:id="rId3"/>
    <sheet name="Global" sheetId="15" r:id="rId4"/>
    <sheet name="LOT 1" sheetId="14" r:id="rId5"/>
    <sheet name="LOT 2" sheetId="22" r:id="rId6"/>
    <sheet name="LOT 3" sheetId="25" r:id="rId7"/>
    <sheet name="Par poste - avec chauffage" sheetId="18" r:id="rId8"/>
    <sheet name="TEXTE_RAPPORT" sheetId="23" r:id="rId9"/>
    <sheet name="BEGES" sheetId="24" r:id="rId10"/>
    <sheet name="LOT 3 - Utilisation" sheetId="8" state="hidden" r:id="rId11"/>
    <sheet name="LOT 3 - Achats" sheetId="10" state="hidden" r:id="rId12"/>
    <sheet name="LOT 3 - Déchets" sheetId="9" state="hidden" r:id="rId13"/>
    <sheet name="LOT 1 - Utilisation" sheetId="1" state="hidden" r:id="rId14"/>
    <sheet name="LOT 1 - Achats" sheetId="2" state="hidden" r:id="rId15"/>
    <sheet name="LOT 1 - Déchets" sheetId="3" state="hidden" r:id="rId16"/>
    <sheet name="LOT 2 - Utilisation " sheetId="5" state="hidden" r:id="rId17"/>
    <sheet name="LOT 2 - ACHATS" sheetId="6" state="hidden" r:id="rId18"/>
    <sheet name="LOT 2 - Hors Energie" sheetId="7" state="hidden" r:id="rId19"/>
  </sheets>
  <definedNames>
    <definedName name="_xlchart.v1.0" hidden="1">Global!$C$19</definedName>
    <definedName name="_xlchart.v1.1" hidden="1">Global!$D$19</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1" i="25" l="1"/>
  <c r="H42" i="25"/>
  <c r="H43" i="25"/>
  <c r="H44" i="25"/>
  <c r="H45" i="25"/>
  <c r="H46" i="25"/>
  <c r="H40" i="25"/>
  <c r="H41" i="22"/>
  <c r="H42" i="22"/>
  <c r="H43" i="22"/>
  <c r="H44" i="22"/>
  <c r="H45" i="22"/>
  <c r="H46" i="22"/>
  <c r="H40" i="22"/>
  <c r="F41" i="25"/>
  <c r="F42" i="25"/>
  <c r="F43" i="25"/>
  <c r="F44" i="25"/>
  <c r="F45" i="25"/>
  <c r="F46" i="25"/>
  <c r="F40" i="25"/>
  <c r="G32" i="25"/>
  <c r="G15" i="15"/>
  <c r="G18" i="15"/>
  <c r="G5" i="15"/>
  <c r="G6" i="15"/>
  <c r="G7" i="15"/>
  <c r="G8" i="15"/>
  <c r="G9" i="15"/>
  <c r="G10" i="15"/>
  <c r="G11" i="15"/>
  <c r="G12" i="15"/>
  <c r="G13" i="15"/>
  <c r="G14" i="15"/>
  <c r="G16" i="15"/>
  <c r="G17" i="15"/>
  <c r="G4" i="15"/>
  <c r="F19" i="15"/>
  <c r="G19" i="25"/>
  <c r="G23" i="25"/>
  <c r="G24" i="25"/>
  <c r="G25" i="25"/>
  <c r="G22" i="25"/>
  <c r="F16" i="25"/>
  <c r="G16" i="25" s="1"/>
  <c r="F15" i="25"/>
  <c r="J14" i="25"/>
  <c r="J15" i="25"/>
  <c r="J16" i="25"/>
  <c r="J17" i="25"/>
  <c r="J13" i="25"/>
  <c r="J6" i="25"/>
  <c r="J7" i="25"/>
  <c r="J8" i="25"/>
  <c r="J5" i="25"/>
  <c r="J7" i="22"/>
  <c r="J8" i="22"/>
  <c r="J6" i="22"/>
  <c r="J5" i="22"/>
  <c r="J14" i="22"/>
  <c r="J15" i="22"/>
  <c r="J16" i="22"/>
  <c r="J17" i="22"/>
  <c r="J13" i="22"/>
  <c r="J14" i="14"/>
  <c r="J15" i="14"/>
  <c r="J16" i="14"/>
  <c r="J17" i="14"/>
  <c r="J13" i="14"/>
  <c r="J6" i="14"/>
  <c r="J7" i="14"/>
  <c r="J8" i="14"/>
  <c r="J5" i="14"/>
  <c r="B1" i="25"/>
  <c r="B1" i="22"/>
  <c r="B3" i="25"/>
  <c r="G31" i="25"/>
  <c r="F24" i="25"/>
  <c r="F22" i="25"/>
  <c r="F32" i="25"/>
  <c r="G26" i="25" l="1"/>
  <c r="F17" i="25"/>
  <c r="G15" i="25"/>
  <c r="G17" i="25" s="1"/>
  <c r="J18" i="25"/>
  <c r="J9" i="25"/>
  <c r="J18" i="22"/>
  <c r="J18" i="14"/>
  <c r="F25" i="25"/>
  <c r="F31" i="25"/>
  <c r="F23" i="25"/>
  <c r="C35" i="16"/>
  <c r="D12" i="16"/>
  <c r="D11" i="16"/>
  <c r="D10" i="16"/>
  <c r="D6" i="16"/>
  <c r="C4" i="16"/>
  <c r="D4" i="16"/>
  <c r="D5" i="16"/>
  <c r="F26" i="25" l="1"/>
  <c r="B1" i="20"/>
  <c r="G32" i="22"/>
  <c r="G26" i="22"/>
  <c r="F17" i="22"/>
  <c r="G16" i="22"/>
  <c r="G15" i="22"/>
  <c r="G17" i="22" s="1"/>
  <c r="G32" i="14" l="1"/>
  <c r="D3" i="15" l="1" a="1"/>
  <c r="C1" i="15"/>
  <c r="B1" i="16"/>
  <c r="F5" i="15" l="1"/>
  <c r="F6" i="25" s="1"/>
  <c r="F13" i="15"/>
  <c r="F6" i="15"/>
  <c r="F7" i="25" s="1"/>
  <c r="F14" i="15"/>
  <c r="F7" i="15"/>
  <c r="F8" i="25" s="1"/>
  <c r="F8" i="15"/>
  <c r="F15" i="15"/>
  <c r="F10" i="15"/>
  <c r="F4" i="15"/>
  <c r="F16" i="15"/>
  <c r="C5" i="25" s="1"/>
  <c r="F9" i="15"/>
  <c r="F17" i="15"/>
  <c r="F18" i="15"/>
  <c r="F11" i="15"/>
  <c r="C6" i="25" s="1"/>
  <c r="F22" i="15"/>
  <c r="F12" i="15"/>
  <c r="D3" i="15"/>
  <c r="D17" i="15" s="1"/>
  <c r="F45" i="14" s="1"/>
  <c r="B3" i="22"/>
  <c r="E4" i="15"/>
  <c r="E5" i="15"/>
  <c r="F6" i="22" s="1"/>
  <c r="E13" i="15"/>
  <c r="E6" i="15"/>
  <c r="F7" i="22" s="1"/>
  <c r="E10" i="15"/>
  <c r="E8" i="15"/>
  <c r="D11" i="15"/>
  <c r="C6" i="14" s="1"/>
  <c r="E9" i="15"/>
  <c r="E15" i="15"/>
  <c r="E22" i="15"/>
  <c r="E14" i="15"/>
  <c r="E18" i="15"/>
  <c r="E16" i="15"/>
  <c r="B1" i="14"/>
  <c r="D10" i="15"/>
  <c r="E11" i="15"/>
  <c r="C6" i="22" s="1"/>
  <c r="D5" i="15"/>
  <c r="F6" i="14" s="1"/>
  <c r="E7" i="15"/>
  <c r="F8" i="22" s="1"/>
  <c r="E12" i="15"/>
  <c r="E17" i="15"/>
  <c r="D8" i="15"/>
  <c r="D6" i="15"/>
  <c r="F7" i="14" s="1"/>
  <c r="D16" i="15"/>
  <c r="D14" i="15"/>
  <c r="F42" i="14" s="1"/>
  <c r="D18" i="15"/>
  <c r="F46" i="14" s="1"/>
  <c r="F46" i="22" l="1"/>
  <c r="F45" i="22"/>
  <c r="F42" i="22"/>
  <c r="F40" i="22"/>
  <c r="F41" i="22"/>
  <c r="F43" i="22"/>
  <c r="F5" i="25"/>
  <c r="C7" i="25"/>
  <c r="C8" i="25" s="1"/>
  <c r="D4" i="15"/>
  <c r="F5" i="14" s="1"/>
  <c r="D22" i="15"/>
  <c r="D13" i="15"/>
  <c r="F41" i="14" s="1"/>
  <c r="D9" i="15"/>
  <c r="B3" i="14"/>
  <c r="F22" i="14" s="1"/>
  <c r="D15" i="15"/>
  <c r="F43" i="14" s="1"/>
  <c r="D7" i="15"/>
  <c r="F8" i="14" s="1"/>
  <c r="C7" i="22"/>
  <c r="F5" i="22"/>
  <c r="C5" i="22"/>
  <c r="F44" i="22"/>
  <c r="F44" i="14"/>
  <c r="C5" i="14"/>
  <c r="F32" i="22"/>
  <c r="F25" i="22"/>
  <c r="G31" i="22"/>
  <c r="F31" i="22"/>
  <c r="F22" i="22"/>
  <c r="F23" i="22"/>
  <c r="F24" i="22"/>
  <c r="D12" i="15"/>
  <c r="F40" i="14" s="1"/>
  <c r="B33" i="16" a="1"/>
  <c r="B33" i="16" s="1"/>
  <c r="F22" i="16" a="1"/>
  <c r="F22" i="16" s="1"/>
  <c r="F16" i="16" a="1"/>
  <c r="F16" i="16" s="1"/>
  <c r="F10" i="16" a="1"/>
  <c r="F10" i="16" s="1"/>
  <c r="B22" i="16" a="1"/>
  <c r="B16" i="16" a="1"/>
  <c r="B10" i="16" a="1"/>
  <c r="B4" i="16" a="1"/>
  <c r="F9" i="25" l="1"/>
  <c r="G5" i="25" s="1"/>
  <c r="F24" i="14"/>
  <c r="F23" i="14"/>
  <c r="F25" i="14"/>
  <c r="F31" i="14"/>
  <c r="G31" i="14"/>
  <c r="F32" i="14"/>
  <c r="C8" i="22"/>
  <c r="C6" i="16"/>
  <c r="C12" i="16"/>
  <c r="C18" i="16"/>
  <c r="D18" i="16"/>
  <c r="D24" i="16"/>
  <c r="C24" i="16"/>
  <c r="J9" i="22"/>
  <c r="F26" i="22"/>
  <c r="F9" i="22"/>
  <c r="G5" i="22" s="1"/>
  <c r="C7" i="14"/>
  <c r="C8" i="14" s="1"/>
  <c r="B4" i="16"/>
  <c r="C33" i="16" s="1"/>
  <c r="C5" i="16"/>
  <c r="B10" i="16"/>
  <c r="C11" i="16"/>
  <c r="B16" i="16"/>
  <c r="D17" i="16"/>
  <c r="C17" i="16"/>
  <c r="B22" i="16"/>
  <c r="C23" i="16"/>
  <c r="D23" i="16"/>
  <c r="C34" i="16"/>
  <c r="D34" i="16"/>
  <c r="G6" i="25" l="1"/>
  <c r="G8" i="25"/>
  <c r="G7" i="25"/>
  <c r="G12" i="16"/>
  <c r="G11" i="16"/>
  <c r="H12" i="16"/>
  <c r="D33" i="16"/>
  <c r="G8" i="22"/>
  <c r="G6" i="22"/>
  <c r="G7" i="22"/>
  <c r="C22" i="16"/>
  <c r="D22" i="16"/>
  <c r="C16" i="16"/>
  <c r="D16" i="16"/>
  <c r="C10" i="16"/>
  <c r="G10" i="16" s="1"/>
  <c r="G9" i="25" l="1"/>
  <c r="G9" i="22"/>
  <c r="H10" i="16"/>
  <c r="D31" i="18"/>
  <c r="C31" i="18"/>
  <c r="B31" i="18"/>
  <c r="D30" i="18"/>
  <c r="D29" i="18"/>
  <c r="D28" i="18"/>
  <c r="D19" i="18"/>
  <c r="C19" i="18"/>
  <c r="B19" i="18"/>
  <c r="D27" i="18"/>
  <c r="B26" i="18"/>
  <c r="D26" i="18" s="1"/>
  <c r="D24" i="18"/>
  <c r="D23" i="18"/>
  <c r="D20" i="18"/>
  <c r="B20" i="18"/>
  <c r="D25" i="18"/>
  <c r="C22" i="18"/>
  <c r="B22" i="18"/>
  <c r="D22" i="18" s="1"/>
  <c r="D21" i="18"/>
  <c r="C10" i="18"/>
  <c r="B10" i="18" l="1"/>
  <c r="D10" i="18" s="1"/>
  <c r="D13" i="18"/>
  <c r="D12" i="18"/>
  <c r="D11" i="18"/>
  <c r="D9" i="18"/>
  <c r="B8" i="18"/>
  <c r="D8" i="18" s="1"/>
  <c r="D7" i="18"/>
  <c r="D6" i="18"/>
  <c r="B5" i="18"/>
  <c r="D5" i="18" s="1"/>
  <c r="D4" i="18"/>
  <c r="C3" i="18"/>
  <c r="C14" i="18" s="1"/>
  <c r="B3" i="18"/>
  <c r="D2" i="18"/>
  <c r="B14" i="18" l="1"/>
  <c r="D3" i="18"/>
  <c r="D14" i="18" s="1"/>
  <c r="H22" i="16" l="1"/>
  <c r="H23" i="16"/>
  <c r="G23" i="16"/>
  <c r="G22" i="16"/>
  <c r="D25" i="16"/>
  <c r="C25" i="16"/>
  <c r="D36" i="16" l="1"/>
  <c r="C36" i="16"/>
  <c r="E34" i="16"/>
  <c r="E33" i="16"/>
  <c r="E36" i="16" l="1"/>
  <c r="E5" i="16" l="1"/>
  <c r="E4" i="16"/>
  <c r="D7" i="16"/>
  <c r="C7" i="16"/>
  <c r="H25" i="16" l="1"/>
  <c r="G25" i="16"/>
  <c r="E7" i="16"/>
  <c r="D19" i="15" l="1"/>
  <c r="G26" i="14"/>
  <c r="H40" i="14" l="1"/>
  <c r="F26" i="14"/>
  <c r="H39" i="25" l="1"/>
  <c r="H39" i="22"/>
  <c r="F17" i="14"/>
  <c r="G16" i="14"/>
  <c r="G15" i="14"/>
  <c r="G17" i="14" l="1"/>
  <c r="E19" i="15" l="1"/>
  <c r="G12" i="25" l="1"/>
  <c r="G28" i="25"/>
  <c r="G3" i="25"/>
  <c r="G12" i="22"/>
  <c r="G28" i="22"/>
  <c r="G3" i="22"/>
  <c r="G19" i="22"/>
  <c r="H16" i="16"/>
  <c r="H17" i="16"/>
  <c r="G17" i="16"/>
  <c r="G16" i="16"/>
  <c r="H11" i="16"/>
  <c r="D19" i="16"/>
  <c r="C19" i="16"/>
  <c r="D13" i="16"/>
  <c r="C13" i="16"/>
  <c r="D44" i="15"/>
  <c r="D45" i="15"/>
  <c r="C23" i="15" l="1" a="1"/>
  <c r="D46" i="15"/>
  <c r="G19" i="14"/>
  <c r="H43" i="14"/>
  <c r="H45" i="14"/>
  <c r="G28" i="14"/>
  <c r="H41" i="14"/>
  <c r="H42" i="14"/>
  <c r="H46" i="14"/>
  <c r="H44" i="14"/>
  <c r="G12" i="14"/>
  <c r="G19" i="15"/>
  <c r="G19" i="16"/>
  <c r="H13" i="16"/>
  <c r="G13" i="16"/>
  <c r="H19" i="16"/>
  <c r="C23" i="15" l="1"/>
  <c r="F38" i="15"/>
  <c r="G38" i="15"/>
  <c r="H39" i="14"/>
  <c r="D47" i="15"/>
  <c r="E38" i="15"/>
  <c r="D38" i="15"/>
  <c r="F9" i="14"/>
  <c r="G3" i="14" s="1"/>
  <c r="E45" i="15" l="1"/>
  <c r="E47" i="15"/>
  <c r="E44" i="15"/>
  <c r="E46" i="15"/>
  <c r="J9" i="14"/>
  <c r="G7" i="14"/>
  <c r="G8" i="14"/>
  <c r="G6" i="14"/>
  <c r="G5" i="14"/>
  <c r="G9" i="14" l="1"/>
  <c r="B6" i="6" l="1"/>
  <c r="B6" i="2" l="1"/>
  <c r="C4" i="2" s="1"/>
  <c r="C3" i="2" l="1"/>
  <c r="C6" i="2"/>
  <c r="C5"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<sst xmlns="http://schemas.openxmlformats.org/spreadsheetml/2006/main" count="1175" uniqueCount="261">
  <si>
    <t>UTILISATION</t>
  </si>
  <si>
    <t>AEP - Chauffage par le client</t>
  </si>
  <si>
    <t>EU - Emissions liées à l'épandage</t>
  </si>
  <si>
    <t>kgCO2e</t>
  </si>
  <si>
    <t>ACHATS</t>
  </si>
  <si>
    <t>% CO2</t>
  </si>
  <si>
    <t>DECHETS DIRECTS</t>
  </si>
  <si>
    <t>Refus de dégrillage - Incinération</t>
  </si>
  <si>
    <t>kg</t>
  </si>
  <si>
    <t>RECOS ASTEE ?</t>
  </si>
  <si>
    <t>Refus de dégrillage - Stockage</t>
  </si>
  <si>
    <t>TOTAL</t>
  </si>
  <si>
    <t>UTILISATION - LOT 2</t>
  </si>
  <si>
    <t>EU - Epandage des boues</t>
  </si>
  <si>
    <t>ACHAtS LOT 2</t>
  </si>
  <si>
    <t>Travaux - RAD</t>
  </si>
  <si>
    <t>Réactifs - RAD</t>
  </si>
  <si>
    <t>Autres - Extracts</t>
  </si>
  <si>
    <t>Action</t>
  </si>
  <si>
    <t>Réparation fuite sur conduite</t>
  </si>
  <si>
    <t>Réparation fuite sur branchement</t>
  </si>
  <si>
    <t>Renouvellement du linéaire</t>
  </si>
  <si>
    <t>HORS ENERGIE - LOT 2</t>
  </si>
  <si>
    <t>CH4</t>
  </si>
  <si>
    <t>N2O</t>
  </si>
  <si>
    <t>Auters - Extracts</t>
  </si>
  <si>
    <t>Curage préventif</t>
  </si>
  <si>
    <t>Linéaire neuf ou renouvelé</t>
  </si>
  <si>
    <t>Opérations de curage</t>
  </si>
  <si>
    <t>Nouveaux branchements AEP</t>
  </si>
  <si>
    <t>Nouveaux branchements EU</t>
  </si>
  <si>
    <t>Nouveaux branchements - EU</t>
  </si>
  <si>
    <t>Nouveaux branchements - AEP</t>
  </si>
  <si>
    <t>AEP</t>
  </si>
  <si>
    <t>EU</t>
  </si>
  <si>
    <t>POSTE 1 : Achats</t>
  </si>
  <si>
    <t>DETAILS - Travaux RAD</t>
  </si>
  <si>
    <t>Typologie</t>
  </si>
  <si>
    <t>tCO2e</t>
  </si>
  <si>
    <t>Autres postes</t>
  </si>
  <si>
    <t>Consommation AEP</t>
  </si>
  <si>
    <t>Consommation EU</t>
  </si>
  <si>
    <t>kWh</t>
  </si>
  <si>
    <t>Part du poste</t>
  </si>
  <si>
    <t>Part du poste (vs. BC total)</t>
  </si>
  <si>
    <t>Utilisation</t>
  </si>
  <si>
    <t>Electricité</t>
  </si>
  <si>
    <t>Parc automobile</t>
  </si>
  <si>
    <t>Poste</t>
  </si>
  <si>
    <t>Fret</t>
  </si>
  <si>
    <t>Immobilisations</t>
  </si>
  <si>
    <t>Déchets</t>
  </si>
  <si>
    <t>Total</t>
  </si>
  <si>
    <t>Utilisation (épandage)</t>
  </si>
  <si>
    <t>M3</t>
  </si>
  <si>
    <t>*branchements</t>
  </si>
  <si>
    <t>kgCO2e/M3</t>
  </si>
  <si>
    <t>EST</t>
  </si>
  <si>
    <t>SUD</t>
  </si>
  <si>
    <t>Digesteur</t>
  </si>
  <si>
    <t>TABLEAU DES POSTES TRIES</t>
  </si>
  <si>
    <t>POSTE 2 : Hors énergie - File eau</t>
  </si>
  <si>
    <t>Rejets dans le milieu - N2O</t>
  </si>
  <si>
    <t>Rejets dans le milieu - CH4</t>
  </si>
  <si>
    <t>Compostage des boues - N2O</t>
  </si>
  <si>
    <t>Compostage des boues - CH4</t>
  </si>
  <si>
    <t>Emissions indirectes (compostage et rejets)</t>
  </si>
  <si>
    <t>POSTE 4 : Electricité</t>
  </si>
  <si>
    <t>TCO2eq</t>
  </si>
  <si>
    <t>AVEC CHAUFFAGE</t>
  </si>
  <si>
    <t>TABLEAU DES POSTES TRIES - PoV TOTAL</t>
  </si>
  <si>
    <t>Amont - Infrastructures</t>
  </si>
  <si>
    <t>Pertes</t>
  </si>
  <si>
    <t>Production de l'électricité - Scope 2</t>
  </si>
  <si>
    <t>Intrants - Réactifs et imports d'eau</t>
  </si>
  <si>
    <t>HABITANTS</t>
  </si>
  <si>
    <t>kgCO2/hab</t>
  </si>
  <si>
    <t>BRANCH.</t>
  </si>
  <si>
    <t>AEP : RAD - D101.0 - Estimation du nombre d'habitants desservis par service public d'eau potable</t>
  </si>
  <si>
    <t>EU : RAD - D201.0 - Estimation du nombre d'habitants desservis par un réseau de collecte des eaux usées</t>
  </si>
  <si>
    <t>Volume épuré</t>
  </si>
  <si>
    <t>Volume distribué</t>
  </si>
  <si>
    <t>Intrants - Autres intrants</t>
  </si>
  <si>
    <t>Intrants - Travaux</t>
  </si>
  <si>
    <t>File eau des STEP</t>
  </si>
  <si>
    <t>Scope 1</t>
  </si>
  <si>
    <t>Scope 2</t>
  </si>
  <si>
    <t>Scope 3</t>
  </si>
  <si>
    <t>%</t>
  </si>
  <si>
    <t>SCOPE</t>
  </si>
  <si>
    <t>Intrants - Réactifs</t>
  </si>
  <si>
    <t>Intrants - Imports d'eau</t>
  </si>
  <si>
    <t>Emissions indirectes liées au compostage</t>
  </si>
  <si>
    <t>Emissions indirectes liées aux rejets</t>
  </si>
  <si>
    <t>Epandage des boues</t>
  </si>
  <si>
    <t>Fret sortant</t>
  </si>
  <si>
    <t>Organisation</t>
  </si>
  <si>
    <t>Lot</t>
  </si>
  <si>
    <t>Entité</t>
  </si>
  <si>
    <t>Année</t>
  </si>
  <si>
    <t>Catégorie</t>
  </si>
  <si>
    <t>Quantité</t>
  </si>
  <si>
    <t>Unité</t>
  </si>
  <si>
    <t>Emissions_kgCO2</t>
  </si>
  <si>
    <t>La Réunion</t>
  </si>
  <si>
    <t>CA SUD</t>
  </si>
  <si>
    <t>Energie</t>
  </si>
  <si>
    <t>File eau</t>
  </si>
  <si>
    <t>Quantité de N20</t>
  </si>
  <si>
    <t>Quantité de CH4</t>
  </si>
  <si>
    <t>Réactifs</t>
  </si>
  <si>
    <t>Travaux</t>
  </si>
  <si>
    <t>Réparations sur conduite, tout matériaux</t>
  </si>
  <si>
    <t>unités</t>
  </si>
  <si>
    <t>Réparations sur branchement, tout matériaux</t>
  </si>
  <si>
    <t>Renouvellement</t>
  </si>
  <si>
    <t>ml</t>
  </si>
  <si>
    <t>Refus de dégrillage et graisses</t>
  </si>
  <si>
    <t>Sables</t>
  </si>
  <si>
    <t>Compostage</t>
  </si>
  <si>
    <t>tms</t>
  </si>
  <si>
    <t>Epandage</t>
  </si>
  <si>
    <t>m3</t>
  </si>
  <si>
    <t>Rejets dans le miieu</t>
  </si>
  <si>
    <t>Compostage des boues</t>
  </si>
  <si>
    <t>Imports d'eau</t>
  </si>
  <si>
    <t>Quantité d'eau importé</t>
  </si>
  <si>
    <t>Achats de services</t>
  </si>
  <si>
    <t>Emissions des achats COUPA</t>
  </si>
  <si>
    <t>euros</t>
  </si>
  <si>
    <t>Emissions liées aux immobilisations</t>
  </si>
  <si>
    <t>Déplacements pro</t>
  </si>
  <si>
    <t>Déplacements domicile-Travail</t>
  </si>
  <si>
    <t xml:space="preserve"> St-Leu</t>
  </si>
  <si>
    <t>Chauffage de l'eau part le client</t>
  </si>
  <si>
    <t>Indicateur</t>
  </si>
  <si>
    <t>m3 d'eau distribués</t>
  </si>
  <si>
    <t>Nombre de branchements</t>
  </si>
  <si>
    <t>Nombre d'habitants</t>
  </si>
  <si>
    <t>kgCO2e/branch.</t>
  </si>
  <si>
    <t>Déplacements domicile-travail</t>
  </si>
  <si>
    <t>Chauffage de l'eau</t>
  </si>
  <si>
    <t>Scope</t>
  </si>
  <si>
    <t>Total kg CO2</t>
  </si>
  <si>
    <t>Nouveaux branchemens</t>
  </si>
  <si>
    <t>POSTE 3 : Emissions indirectes</t>
  </si>
  <si>
    <t>kg CO2e</t>
  </si>
  <si>
    <t>Consommation d'électricité</t>
  </si>
  <si>
    <t>CiNOR</t>
  </si>
  <si>
    <t>Hydrocurage préventif</t>
  </si>
  <si>
    <t>Hydrocurage curatif</t>
  </si>
  <si>
    <t>Branchements neufs</t>
  </si>
  <si>
    <t>Émissions liées à des opérations de désobstruction</t>
  </si>
  <si>
    <t>Tonnes</t>
  </si>
  <si>
    <t>Émissions de N2O liées à l'épandage des boues</t>
  </si>
  <si>
    <t>m3 d'eau assainis</t>
  </si>
  <si>
    <t>poste_l1_code</t>
  </si>
  <si>
    <t>value</t>
  </si>
  <si>
    <t>hypothèse</t>
  </si>
  <si>
    <t>icone</t>
  </si>
  <si>
    <t>CHART_KEY</t>
  </si>
  <si>
    <t>IMAGE_KEY</t>
  </si>
  <si>
    <t>TABLE_KEY</t>
  </si>
  <si>
    <t>activity</t>
  </si>
  <si>
    <t>DETAIL_SOUCE</t>
  </si>
  <si>
    <t>Pour l’activité de traitement des eaux usées (EU), le poste « Intrants – Travaux » couvre les émissions de gaz à effet de serre liées aux travaux réalisés sur les réseaux d’assainissement. Ces interventions sont essentielles au bon fonctionnement des ouvrages et à la prévention des dysfonctionnements hydrauliques et environnementaux.
Les émissions considérées sont associées aux nouveaux branchements ainsi qu’aux opérations d’hydrocurage préventif et curatif des réseaux. Comme pour l’activité AEP, l’évaluation des émissions repose sur les recommandations de l’ASTEE, garantissant une cohérence méthodologique avec les pratiques courantes du secteur de l’eau et de l’assainissement.</t>
  </si>
  <si>
    <t>travaux</t>
  </si>
  <si>
    <t>TRAVAUX_BREAKDOWN</t>
  </si>
  <si>
    <t>EMISSIONS_L2</t>
  </si>
  <si>
    <t>Pour l’activité d’alimentation en eau potable (AEP), le poste « Intrants – Travaux » regroupe les émissions de gaz à effet de serre associées aux interventions réalisées sur les réseaux afin d’assurer la continuité et la qualité du service. Ces opérations mobilisient des engins, des véhicules et des intrants dont l’utilisation génère des émissions directes et indirectes.
Les émissions prises en compte concernent principalement les réparations de fuites sur conduite, les réparations de fuites sur branchement, les nouveaux branchements, ainsi que les opérations de curage effectuées sur le réseau. La quantification de ces émissions s’appuie sur les recommandations méthodologiques de l’ASTEE, qui fournissent des ordres de grandeur représentatifs des pratiques du secteur pour ce type d’interventions.</t>
  </si>
  <si>
    <t>Ce poste regroupe les émissions de gaz à effet de serre associées à l’utilisation de réactifs chimiques nécessaires au traitement des eaux usées et à l’exploitation des ouvrages. Ces réactifs interviennent à différentes étapes du procédé, notamment pour la coagulation-floculation, la déshydratation des boues, le traitement de l’azote ou encore l’optimisation des performances de traitement.
Les émissions prises en compte sont principalement liées à la fabrication amont des réactifs utilisés, dont l’empreinte carbone varie significativement selon leur nature et leur mode de production. À ce titre, il est à noter que les polymères et la chaux vive présentent des facteurs d’émission environ trois fois plus élevés que le méthanol et le chlorure ferrique, ce qui peut conduire à une contribution importante de ces intrants aux émissions totales lorsque leurs volumes d’utilisation sont significatifs.
L’analyse de ce poste permet ainsi d’identifier des leviers d’action potentiels, tels que l’optimisation des dosages, le recours à des alternatives moins carbonées ou l’amélioration des performances de traitement, tout en maintenant le niveau de service et la conformité réglementaire des installations.</t>
  </si>
  <si>
    <t>réactif</t>
  </si>
  <si>
    <t>REACTIF_BREAKDOWN</t>
  </si>
  <si>
    <t>BOTH</t>
  </si>
  <si>
    <t>Ce poste regroupe les émissions de gaz à effet de serre associées aux volumes d’eau achetés auprès d’autres acteurs et importés sur le périmètre du contrat. L’eau importée est considérée comme déjà traitée en amont, mais son impact carbone doit néanmoins être intégré au Bilan Carbone de l’activité, dans la mesure où elle contribue directement au service rendu par SAUR.
Les émissions sont évaluées à partir des volumes d’eau importés, auxquels sont appliqués des facteurs d’émission génériques issus des travaux de l’ASTEE. Cette approche permet de prendre en compte l’empreinte carbone associée à la production et au traitement de ces volumes, bien que ces opérations ne soient pas réalisées directement sur les installations du contrat. Les émissions correspondantes sont ainsi comptabilisées dans le périmètre d’émissions de SAUR.</t>
  </si>
  <si>
    <t>eau</t>
  </si>
  <si>
    <t>Intrants - Achats coupa</t>
  </si>
  <si>
    <t>Ce poste regroupe les émissions de gaz à effet de serre associées aux achats directs réalisés par SAUR dans le cadre du contrat. Il s’agit notamment des biens et services nécessaires à l’exploitation des installations et au bon déroulement des activités.
Les données d’achats sont fournies par la direction achats du Groupe et issues de l’outil Coupa. Les dépenses sont traitées selon une approche monétaire, puis ventilées par catégories d’achats. À chaque catégorie est ensuite associé un facteur d’émission représentatif, permettant d’estimer les émissions indirectes liées à la fabrication et à la fourniture des biens et services concernés.</t>
  </si>
  <si>
    <t>achats</t>
  </si>
  <si>
    <t>Ce poste regroupe les émissions de gaz à effet de serre associées au traitement des eaux usées au sein des stations d’épuration, et plus particulièrement aux processus d’abattement de la demande chimique en oxygène (DCO) et de l’azote total Kjeldahl (NTK). Ces étapes sont indispensables pour garantir la conformité des rejets au regard des exigences réglementaires et de la protection des milieux aquatiques.
La réduction de la charge polluante implique la mise en œuvre de traitements biologiques et physico-chimiques dans les différents bassins de la station (aération, nitrification–dénitrification, digestion, etc.). Ces processus engendrent la formation et l’émission de gaz à effet de serre, principalement du méthane (CH₄) et du protoxyde d’azote (N₂O), issus des réactions microbiennes intervenant au cours du traitement.
Bien que les quantités émises puissent être relativement faibles, le protoxyde d’azote présente un pouvoir de réchauffement global particulièrement élevé, avec un facteur d’émission de 273 kgCO₂e par kilogramme de N₂O émis, contre 28 kgCO₂e par kilogramme de CH₄. Ainsi, même de faibles émissions de N₂O peuvent contribuer de manière significative à l’empreinte carbone du traitement des eaux usées, ce qui explique l’importance de ce poste dans le Bilan Carbone de l’activité.</t>
  </si>
  <si>
    <t>chimie</t>
  </si>
  <si>
    <t>FILE_EAU_BREAKDOWN</t>
  </si>
  <si>
    <t>EM_INDIRECTES_TABLE</t>
  </si>
  <si>
    <t>Ce poste regroupe les émissions de gaz à effet de serre associées, d’une part, aux rejets des effluents traités dans le milieu naturel, et d’autre part, aux opérations de compostage des boues issues du traitement des eaux usées. Ces étapes constituent des composantes essentielles de la filière d’assainissement, tant du point de vue réglementaire que de la gestion des sous-produits du traitement.
Les processus biologiques mis en œuvre lors du compostage des boues, ainsi que les mécanismes biogéochimiques intervenant au niveau des rejets dans le milieu, peuvent entraîner des émissions de méthane (CH₄) et de protoxyde d’azote (N₂O). À l’instar des autres postes liés aux procédés biologiques, ces émissions sont fortement influencées par le pouvoir de réchauffement global des gaz concernés, le N₂O présentant un facteur d’émission particulièrement élevé (273 kg CO₂e par kilogramme émis), nettement supérieur à celui du méthane (28 kg CO₂e par kilogramme émis).</t>
  </si>
  <si>
    <t>boue</t>
  </si>
  <si>
    <t>EM_INDIRECTES_SPLIT</t>
  </si>
  <si>
    <t>Les émissions liées à la consommation d’électricité sont majoritairement des émissions indirectes de Scope 2, correspondant à la production de l’électricité dans les centrales. Une part résiduelle des émissions est également comptabilisée en Scope 3, notamment au titre des pertes en ligne et des étapes amont de la production de l’énergie.
L’électricité achetée par SAUR est couverte par des garanties d’origine verte. Bien que cet élément ne soit pas pris en compte dans la méthodologie Bilan Carbone® pour la quantification des émissions, il convient de noter que le mix électrique consommé présente une intensité carbone faible.</t>
  </si>
  <si>
    <t>électricité</t>
  </si>
  <si>
    <t>Les émissions associées aux immobilisations ont été évaluées à partir des données de comptabilité de l’entreprise, détaillant les investissements réalisés dans les équipements, et les machines. Chaque catégorie d’immobilisation est associée à un facteur d’émission spécifique.
Les émissions de gaz à effet de serre liées à ces dépenses immobilisées sont ensuite réparties sur la durée d’amortissement des actifs concernés, conformément aux principes méthodologiques du Bilan Carbone®, afin de refléter leur contribution annuelle à l’empreinte carbone de l’activité.</t>
  </si>
  <si>
    <t>immo</t>
  </si>
  <si>
    <t>L’utilisation du digesteur génère des émissions de gaz à effet de serre liées aux procédés de digestion anaérobie des boues, au cours desquels du biogaz est produit. Ce biogaz, majoritairement composé de méthane, peut être valorisé ou, le cas échéant, éliminé par torchage, entraînant des émissions de dioxyde de carbone (CO₂) issues de la combustion du méthane.
Dans le cadre du présent Bilan Carbone, seules les émissions directes associées au fonctionnement du digesteur et à la gestion du biogaz sont prises en compte. Les émissions évitées potentielles liées à la valorisation énergétique du biogaz ne sont pas intégrées au calcul de l’empreinte carbone, conformément à la méthodologie Bilan Carbone®, et font l’objet d’une analyse distincte.</t>
  </si>
  <si>
    <t>digeteur</t>
  </si>
  <si>
    <t>DIGESTEUR_SCHEMA</t>
  </si>
  <si>
    <t>Ce poste couvre les émissions de gaz à effet de serre liées à l’utilisation des boues issues du traitement des eaux usées, lorsqu’elles sont valorisées par épandage agricole. Ces émissions sont associées aux processus biologiques intervenant lors de l’épandage, ainsi qu’aux interactions des boues avec les sols agricoles.
Les émissions prises en compte concernent principalement les rejets de protoxyde d’azote (N₂O) et, dans une moindre mesure, de méthane (CH₄), résultant de la minéralisation de la matière organique et des apports azotés. Compte tenu du pouvoir de réchauffement global élevé du N₂O, ce poste peut contribuer de manière significative à l’empreinte carbone de la filière de gestion des boues.</t>
  </si>
  <si>
    <t>epandage</t>
  </si>
  <si>
    <t>Ce poste regroupe les émissions de gaz à effet de serre liées à l’utilisation du parc automobile affecté au contrat. Il inclut l’ensemble des déplacements réalisés par les salariés et les opérateurs dans le cadre de leurs activités professionnelles, à l’aide de véhicules légers ou utilitaires.
Les émissions sont calculées à partir des consommations de carburant et/ou des distances parcourues, en fonction des données disponibles, et selon les typologies de véhicules et de carburants utilisés (essence, gazole, etc.). Ce poste reflète ainsi l’impact des déplacements nécessaires à l’exploitation, à la maintenance et au suivi des installations.</t>
  </si>
  <si>
    <t>voiture</t>
  </si>
  <si>
    <t>Ce poste regroupe les émissions de gaz à effet de serre associées aux déchets générés par les processus de traitement de l’eau. Il s’agit principalement des sables, des boues et des graisses extraits lors des différentes étapes de traitement.
Les émissions prises en compte correspondent aux traitements de ces déchets par les filières aval, telles que le stockage, l’incinération ou l’enfouissement. L’impact carbone dépend notamment de la nature des déchets, des quantités produites et des modes de traitement retenus, qui peuvent générer des émissions directes et indirectes de gaz à effet de serre.</t>
  </si>
  <si>
    <t>déchets</t>
  </si>
  <si>
    <t>Fret entrant</t>
  </si>
  <si>
    <t>Ce poste couvre les émissions de gaz à effet de serre liées au transport des marchandises achetées et acheminées vers les sites de SAUR dans le cadre du contrat. Ces transports sont nécessaires à l’ensemble des processus de traitement de l’eau et concernent notamment l’approvisionnement en réactifs, qui représente une part significative des flux entrants.
Les émissions sont évaluées à partir des distances parcourues, des modes de transport utilisés et des volumes transportés, selon les données disponibles et les hypothèses méthodologiques retenues. Ce poste permet de prendre en compte l’impact carbone logistique associé à l’amont des activités.</t>
  </si>
  <si>
    <t>transport</t>
  </si>
  <si>
    <t>Ce poste regroupe les émissions de gaz à effet de serre liées au transport des boues sortantes des sites de SAUR, issues du traitement des eaux usées. Ces boues constituent un sous-produit majeur du traitement et sont orientées vers différentes filières de valorisation ou de traitement.
Les émissions prises en compte concernent le transport des boues vers les sites d’épandage agricole ou vers les plateformes de compostage, lorsqu’un traitement préalable est réalisé. L’impact carbone de ce poste dépend principalement des distances parcourues, des volumes transportés et des modes de transport utilisés.</t>
  </si>
  <si>
    <t>Emissions évitées</t>
  </si>
  <si>
    <t>Certaines activités liées au traitement des eaux usées peuvent générer des émissions évitées, en se substituant à des pratiques ou des sources d’émissions plus carbonées. Dans le cadre du présent bilan, ces émissions évitées sont analysées de manière distincte et ne sont pas intégrées au calcul de l’empreinte carbone finale, conformément aux principes de la méthodologie Bilan Carbone®.
Les émissions évitées identifiées concernent principalement l’épandage des boues, le compostage et l’utilisation du digesteur. L’épandage et le compostage des boues permettent notamment de substituer des amendements ou fertilisants d’origine industrielle, tandis que la digestion anaérobie contribue à la production de biogaz pouvant se substituer à des sources d’énergie fossile ou conventionnelle.
L’évaluation de ces émissions évitées vise à apporter un éclairage complémentaire sur les bénéfices environnementaux potentiels des filières mises en œuvre, sans remettre en cause le périmètre du Bilan Carbone réglementaire. Elles constituent ainsi un élément d’analyse utile pour apprécier les leviers de valorisation et les perspectives d’amélioration de la performance environnementale du service.</t>
  </si>
  <si>
    <t>avoid</t>
  </si>
  <si>
    <t>Emissions avec chauffage</t>
  </si>
  <si>
    <t>Catégories d'émissions</t>
  </si>
  <si>
    <t>Numéros</t>
  </si>
  <si>
    <t>Postes d'émissions</t>
  </si>
  <si>
    <t>CO2 
(t CO2e)</t>
  </si>
  <si>
    <t>1. Emissions directes de GES</t>
  </si>
  <si>
    <t>1.1</t>
  </si>
  <si>
    <t>Emissions directes des sources fixes de combustion</t>
  </si>
  <si>
    <t>1.2</t>
  </si>
  <si>
    <t>Emissions directes des sources mobiles de combustion</t>
  </si>
  <si>
    <t>1.3</t>
  </si>
  <si>
    <t>Emissions directes des procédés hors énergie</t>
  </si>
  <si>
    <t>1.4</t>
  </si>
  <si>
    <t>Emissions directes fugitives</t>
  </si>
  <si>
    <t>1.5</t>
  </si>
  <si>
    <t>Emissions issues de la biomasse (sols et forêts)</t>
  </si>
  <si>
    <t xml:space="preserve">Sous total </t>
  </si>
  <si>
    <t>2. Emissions indirectes associées à l'énergie</t>
  </si>
  <si>
    <t>2.1</t>
  </si>
  <si>
    <t>Emissions indirectes liées à la consommation d'électricité</t>
  </si>
  <si>
    <t>2.2</t>
  </si>
  <si>
    <t>Emissions indirectes liées à la consommation d'énergie autre que l'électricité</t>
  </si>
  <si>
    <t>3. Emissions indirectes associées au transport</t>
  </si>
  <si>
    <t>3.1</t>
  </si>
  <si>
    <t>Transport de marchandise amont</t>
  </si>
  <si>
    <t>3.2</t>
  </si>
  <si>
    <t>Transport de marchandise aval</t>
  </si>
  <si>
    <t>3.3</t>
  </si>
  <si>
    <t xml:space="preserve">Déplacements domicile travail </t>
  </si>
  <si>
    <t>3.4</t>
  </si>
  <si>
    <t>Transport des visiteurs et des clients</t>
  </si>
  <si>
    <t>3.5</t>
  </si>
  <si>
    <t>Déplacements professionnels</t>
  </si>
  <si>
    <t>4. Emissions indirectes associées aux produits achetés</t>
  </si>
  <si>
    <t>4.1</t>
  </si>
  <si>
    <t>Achats de biens</t>
  </si>
  <si>
    <t>4.2</t>
  </si>
  <si>
    <t>Immobilisations de biens</t>
  </si>
  <si>
    <t>4.3</t>
  </si>
  <si>
    <t>Gestion des déchets</t>
  </si>
  <si>
    <t>4.4</t>
  </si>
  <si>
    <t>Actifs en leasing amont</t>
  </si>
  <si>
    <t>4.5</t>
  </si>
  <si>
    <t>5. Emissions indirectes associées aux produits vendus</t>
  </si>
  <si>
    <t>5.1</t>
  </si>
  <si>
    <t>Utilisation des produits vendus</t>
  </si>
  <si>
    <t>5.2</t>
  </si>
  <si>
    <t>Actifs en leasing aval</t>
  </si>
  <si>
    <t>5.3</t>
  </si>
  <si>
    <t>Fin de vie des produits vendus</t>
  </si>
  <si>
    <t>5.4</t>
  </si>
  <si>
    <t>Investissements</t>
  </si>
  <si>
    <t>6. Autres émissions indirectes</t>
  </si>
  <si>
    <t>6.1</t>
  </si>
  <si>
    <t>Autres émissions indirectes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</si>
</sst>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_ ;_ * \(#,##0.00\)_ ;_ * &quot;-&quot;??_)_ ;_ @_ "/>
    <numFmt numFmtId="164" formatCode="_-* #,##0.00_-;\-* #,##0.00_-;_-* &quot;-&quot;??_-;_-@_-"/>
    <numFmt numFmtId="165" formatCode="0.0%"/>
    <numFmt numFmtId="166" formatCode="_-* #,##0_-;\-* #,##0_-;_-* &quot;-&quot;??_-;_-@_-"/>
    <numFmt numFmtId="167" formatCode="_-* #,##0.0_-;\-* #,##0.0_-;_-* &quot;-&quot;??_-;_-@_-"/>
  </numFmts>
  <fonts count="21" x14ac:knownFonts="1">
    <font>
      <sz val="11"/>
      <color theme="1"/>
      <name val="Poppins"/>
      <family val="2"/>
      <scheme val="minor"/>
    </font>
    <font>
      <sz val="11"/>
      <color theme="1"/>
      <name val="Poppins"/>
      <family val="2"/>
      <scheme val="minor"/>
    </font>
    <font>
      <b/>
      <sz val="11"/>
      <color theme="1"/>
      <name val="Poppins"/>
      <scheme val="minor"/>
    </font>
    <font>
      <b/>
      <sz val="16"/>
      <color theme="0"/>
      <name val="Poppins"/>
      <scheme val="minor"/>
    </font>
    <font>
      <b/>
      <i/>
      <u/>
      <sz val="11"/>
      <color theme="1"/>
      <name val="Poppins"/>
      <scheme val="minor"/>
    </font>
    <font>
      <b/>
      <i/>
      <u/>
      <sz val="11"/>
      <color theme="0"/>
      <name val="Poppins"/>
      <scheme val="minor"/>
    </font>
    <font>
      <i/>
      <sz val="11"/>
      <color theme="1"/>
      <name val="Poppins"/>
      <scheme val="minor"/>
    </font>
    <font>
      <i/>
      <sz val="8"/>
      <color theme="1"/>
      <name val="Poppins"/>
      <scheme val="minor"/>
    </font>
    <font>
      <b/>
      <i/>
      <sz val="9"/>
      <color theme="1"/>
      <name val="Poppins"/>
      <scheme val="minor"/>
    </font>
    <font>
      <b/>
      <i/>
      <sz val="11"/>
      <color theme="1"/>
      <name val="Poppins"/>
      <scheme val="minor"/>
    </font>
    <font>
      <sz val="11"/>
      <color theme="1"/>
      <name val="Poppins"/>
      <scheme val="minor"/>
    </font>
    <font>
      <sz val="9"/>
      <color theme="1"/>
      <name val="Poppins"/>
      <family val="2"/>
      <scheme val="minor"/>
    </font>
    <font>
      <b/>
      <sz val="11"/>
      <color theme="0"/>
      <name val="Poppins"/>
      <scheme val="minor"/>
    </font>
    <font>
      <sz val="8"/>
      <name val="Poppins"/>
      <family val="2"/>
      <scheme val="minor"/>
    </font>
    <font>
      <b/>
      <sz val="20"/>
      <color theme="0"/>
      <name val="Poppins"/>
      <scheme val="minor"/>
    </font>
    <font>
      <b/>
      <sz val="14"/>
      <color theme="0"/>
      <name val="Poppins"/>
      <scheme val="minor"/>
    </font>
    <font>
      <b/>
      <sz val="24"/>
      <color theme="0"/>
      <name val="Poppins"/>
      <scheme val="minor"/>
    </font>
    <font>
      <b/>
      <sz val="11"/>
      <color rgb="FFFFFFFF"/>
      <name val="Calibri"/>
      <family val="2"/>
    </font>
    <font>
      <b/>
      <sz val="10"/>
      <name val="Trade Gothic Next"/>
      <family val="2"/>
    </font>
    <font>
      <sz val="10"/>
      <name val="Trade Gothic Next"/>
      <family val="2"/>
    </font>
    <font>
      <sz val="11"/>
      <color rgb="FF000000"/>
      <name val="Poppins"/>
      <family val="2"/>
      <charset val="1"/>
      <scheme val="minor"/>
    </font>
  </fonts>
  <fills count="17">
    <fill>
      <patternFill patternType="none"/>
    </fill>
    <fill>
      <patternFill patternType="gray125"/>
    </fill>
    <fill>
      <patternFill patternType="solid">
        <fgColor theme="5"/>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bgColor indexed="64"/>
      </patternFill>
    </fill>
    <fill>
      <patternFill patternType="solid">
        <fgColor theme="8"/>
        <bgColor indexed="64"/>
      </patternFill>
    </fill>
    <fill>
      <patternFill patternType="solid">
        <fgColor rgb="FF1F4E79"/>
      </patternFill>
    </fill>
    <fill>
      <patternFill patternType="solid">
        <fgColor theme="5" tint="0.39997558519241921"/>
        <bgColor rgb="FF000000"/>
      </patternFill>
    </fill>
    <fill>
      <patternFill patternType="solid">
        <fgColor theme="9" tint="0.39997558519241921"/>
        <bgColor rgb="FF000000"/>
      </patternFill>
    </fill>
    <fill>
      <patternFill patternType="solid">
        <fgColor rgb="FFD09C5C"/>
        <bgColor rgb="FF000000"/>
      </patternFill>
    </fill>
    <fill>
      <patternFill patternType="solid">
        <fgColor theme="8"/>
        <bgColor rgb="FF000000"/>
      </patternFill>
    </fill>
    <fill>
      <patternFill patternType="solid">
        <fgColor rgb="FF99CCFF"/>
        <bgColor rgb="FF000000"/>
      </patternFill>
    </fill>
    <fill>
      <patternFill patternType="solid">
        <fgColor theme="0" tint="-0.249977111117893"/>
        <bgColor rgb="FF000000"/>
      </patternFill>
    </fill>
    <fill>
      <patternFill patternType="solid">
        <fgColor rgb="FF92D050"/>
        <bgColor rgb="FF000000"/>
      </patternFill>
    </fill>
  </fills>
  <borders count="4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diagonal/>
    </border>
    <border>
      <left/>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right/>
      <top/>
      <bottom style="thin">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theme="1"/>
      </left>
      <right/>
      <top style="medium">
        <color theme="1"/>
      </top>
      <bottom/>
      <diagonal/>
    </border>
    <border>
      <left style="medium">
        <color theme="1"/>
      </left>
      <right/>
      <top/>
      <bottom/>
      <diagonal/>
    </border>
    <border>
      <left style="medium">
        <color theme="1"/>
      </left>
      <right/>
      <top/>
      <bottom style="medium">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top style="thin">
        <color theme="4"/>
      </top>
      <bottom/>
      <diagonal/>
    </border>
    <border>
      <left/>
      <right/>
      <top style="thin">
        <color theme="4"/>
      </top>
      <bottom style="thin">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164" fontId="0" fillId="0" borderId="0" xfId="1" applyFont="1"/>
    <xf numFmtId="164" fontId="0" fillId="0" borderId="0" xfId="0" applyNumberFormat="1"/>
    <xf numFmtId="9" fontId="0" fillId="0" borderId="0" xfId="2" applyFont="1"/>
    <xf numFmtId="9" fontId="0" fillId="0" borderId="0" xfId="0" applyNumberFormat="1"/>
    <xf numFmtId="0" fontId="2" fillId="0" borderId="0" xfId="0" applyFont="1"/>
    <xf numFmtId="10" fontId="0" fillId="0" borderId="0" xfId="2" applyNumberFormat="1" applyFont="1"/>
    <xf numFmtId="3" fontId="2" fillId="0" borderId="2" xfId="0" applyNumberFormat="1" applyFont="1" applyBorder="1"/>
    <xf numFmtId="3" fontId="2" fillId="0" borderId="1" xfId="0" applyNumberFormat="1" applyFont="1" applyBorder="1"/>
    <xf numFmtId="0" fontId="0" fillId="0" borderId="5" xfId="0" applyBorder="1" applyAlignment="1">
      <alignment horizontal="center"/>
    </xf>
    <xf numFmtId="0" fontId="2" fillId="0" borderId="1" xfId="0" applyFont="1" applyBorder="1" applyAlignment="1">
      <alignment horizontal="center"/>
    </xf>
    <xf numFmtId="0" fontId="0" fillId="0" borderId="7" xfId="0"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0" fillId="2" borderId="0" xfId="0" applyFill="1"/>
    <xf numFmtId="0" fontId="2" fillId="0" borderId="1" xfId="0" applyFont="1" applyBorder="1"/>
    <xf numFmtId="0" fontId="0" fillId="0" borderId="5" xfId="0" applyBorder="1"/>
    <xf numFmtId="164" fontId="0" fillId="0" borderId="10" xfId="1" applyFont="1" applyBorder="1"/>
    <xf numFmtId="164" fontId="2" fillId="0" borderId="9" xfId="0" applyNumberFormat="1" applyFont="1" applyBorder="1"/>
    <xf numFmtId="164" fontId="2" fillId="0" borderId="9" xfId="1" applyFont="1" applyBorder="1"/>
    <xf numFmtId="0" fontId="4" fillId="0" borderId="5" xfId="0" applyFont="1" applyBorder="1" applyAlignment="1">
      <alignment horizontal="center"/>
    </xf>
    <xf numFmtId="0" fontId="4" fillId="0" borderId="15" xfId="0" applyFont="1" applyBorder="1" applyAlignment="1">
      <alignment horizontal="center"/>
    </xf>
    <xf numFmtId="9" fontId="0" fillId="0" borderId="10" xfId="2" applyFont="1" applyBorder="1"/>
    <xf numFmtId="0" fontId="4" fillId="0" borderId="16" xfId="0" applyFont="1" applyBorder="1" applyAlignment="1">
      <alignment horizontal="center"/>
    </xf>
    <xf numFmtId="164" fontId="0" fillId="0" borderId="17" xfId="1" applyFont="1" applyBorder="1"/>
    <xf numFmtId="164" fontId="2" fillId="0" borderId="18" xfId="0" applyNumberFormat="1" applyFont="1" applyBorder="1"/>
    <xf numFmtId="164" fontId="0" fillId="0" borderId="0" xfId="1" applyFont="1" applyBorder="1"/>
    <xf numFmtId="0" fontId="0" fillId="0" borderId="6" xfId="0" applyBorder="1"/>
    <xf numFmtId="0" fontId="0" fillId="0" borderId="19" xfId="0" applyBorder="1"/>
    <xf numFmtId="164" fontId="0" fillId="0" borderId="20" xfId="1" applyFont="1" applyBorder="1"/>
    <xf numFmtId="0" fontId="0" fillId="0" borderId="21" xfId="0" applyBorder="1"/>
    <xf numFmtId="0" fontId="7" fillId="0" borderId="0" xfId="0" applyFont="1"/>
    <xf numFmtId="9" fontId="2" fillId="0" borderId="9" xfId="2" applyFont="1" applyBorder="1"/>
    <xf numFmtId="165" fontId="0" fillId="0" borderId="0" xfId="2" applyNumberFormat="1" applyFont="1"/>
    <xf numFmtId="0" fontId="0" fillId="5" borderId="0" xfId="0" applyFill="1"/>
    <xf numFmtId="164" fontId="2" fillId="0" borderId="0" xfId="0" applyNumberFormat="1" applyFont="1"/>
    <xf numFmtId="164" fontId="2" fillId="0" borderId="0" xfId="1" applyFont="1" applyBorder="1"/>
    <xf numFmtId="0" fontId="6" fillId="5" borderId="0" xfId="0" applyFont="1" applyFill="1"/>
    <xf numFmtId="0" fontId="8" fillId="0" borderId="0" xfId="0" applyFont="1" applyAlignment="1">
      <alignment horizontal="center"/>
    </xf>
    <xf numFmtId="0" fontId="9" fillId="0" borderId="0" xfId="0" applyFont="1" applyAlignment="1">
      <alignment horizontal="center"/>
    </xf>
    <xf numFmtId="3" fontId="0" fillId="6" borderId="7" xfId="0" applyNumberFormat="1" applyFill="1" applyBorder="1"/>
    <xf numFmtId="3" fontId="0" fillId="6" borderId="8" xfId="0" applyNumberFormat="1" applyFill="1" applyBorder="1"/>
    <xf numFmtId="3" fontId="0" fillId="6" borderId="5" xfId="0" applyNumberFormat="1" applyFill="1" applyBorder="1"/>
    <xf numFmtId="3" fontId="0" fillId="6" borderId="6" xfId="0" applyNumberFormat="1" applyFill="1" applyBorder="1"/>
    <xf numFmtId="0" fontId="11" fillId="0" borderId="0" xfId="0" applyFont="1"/>
    <xf numFmtId="164" fontId="2" fillId="0" borderId="1" xfId="1" applyFont="1" applyBorder="1"/>
    <xf numFmtId="164" fontId="2" fillId="0" borderId="2" xfId="1" applyFont="1" applyBorder="1"/>
    <xf numFmtId="0" fontId="2" fillId="0" borderId="22" xfId="0" applyFont="1" applyBorder="1" applyAlignment="1">
      <alignment horizontal="center"/>
    </xf>
    <xf numFmtId="166" fontId="2" fillId="0" borderId="23" xfId="1" applyNumberFormat="1" applyFont="1" applyBorder="1"/>
    <xf numFmtId="166" fontId="2" fillId="0" borderId="24" xfId="1" applyNumberFormat="1" applyFont="1" applyBorder="1"/>
    <xf numFmtId="166" fontId="2" fillId="0" borderId="1" xfId="1" applyNumberFormat="1" applyFont="1" applyBorder="1"/>
    <xf numFmtId="166" fontId="2" fillId="0" borderId="2" xfId="1" applyNumberFormat="1" applyFont="1" applyBorder="1"/>
    <xf numFmtId="166" fontId="2" fillId="0" borderId="22" xfId="1" applyNumberFormat="1" applyFont="1" applyBorder="1"/>
    <xf numFmtId="0" fontId="12" fillId="2" borderId="0" xfId="0" applyFont="1" applyFill="1" applyAlignment="1">
      <alignment horizontal="center"/>
    </xf>
    <xf numFmtId="0" fontId="12" fillId="7" borderId="23" xfId="0" applyFont="1" applyFill="1" applyBorder="1" applyAlignment="1">
      <alignment horizontal="center"/>
    </xf>
    <xf numFmtId="0" fontId="2" fillId="0" borderId="22" xfId="0" applyFont="1" applyBorder="1"/>
    <xf numFmtId="0" fontId="12" fillId="2" borderId="3" xfId="0" applyFont="1" applyFill="1" applyBorder="1" applyAlignment="1">
      <alignment horizontal="center"/>
    </xf>
    <xf numFmtId="0" fontId="12" fillId="2" borderId="4" xfId="0" applyFont="1" applyFill="1" applyBorder="1" applyAlignment="1">
      <alignment horizontal="center"/>
    </xf>
    <xf numFmtId="166" fontId="0" fillId="0" borderId="5" xfId="1" applyNumberFormat="1" applyFont="1" applyBorder="1"/>
    <xf numFmtId="166" fontId="0" fillId="0" borderId="6" xfId="1" applyNumberFormat="1" applyFont="1" applyBorder="1"/>
    <xf numFmtId="166" fontId="0" fillId="5" borderId="5" xfId="1" applyNumberFormat="1" applyFont="1" applyFill="1" applyBorder="1"/>
    <xf numFmtId="166" fontId="0" fillId="5" borderId="6" xfId="1" applyNumberFormat="1" applyFont="1" applyFill="1" applyBorder="1"/>
    <xf numFmtId="0" fontId="2" fillId="3" borderId="23"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23" xfId="0" applyFill="1" applyBorder="1" applyAlignment="1">
      <alignment horizontal="center"/>
    </xf>
    <xf numFmtId="0" fontId="0" fillId="0" borderId="24" xfId="0" applyBorder="1"/>
    <xf numFmtId="166" fontId="0" fillId="0" borderId="17" xfId="1" applyNumberFormat="1" applyFont="1" applyBorder="1"/>
    <xf numFmtId="166" fontId="0" fillId="0" borderId="25" xfId="1" applyNumberFormat="1" applyFont="1" applyBorder="1"/>
    <xf numFmtId="166" fontId="0" fillId="0" borderId="6" xfId="1" applyNumberFormat="1" applyFont="1" applyFill="1" applyBorder="1"/>
    <xf numFmtId="0" fontId="4" fillId="0" borderId="3" xfId="0" applyFont="1" applyBorder="1" applyAlignment="1">
      <alignment horizontal="center"/>
    </xf>
    <xf numFmtId="166" fontId="2" fillId="5" borderId="24" xfId="1" applyNumberFormat="1" applyFont="1" applyFill="1" applyBorder="1"/>
    <xf numFmtId="166" fontId="0" fillId="0" borderId="5" xfId="1" applyNumberFormat="1" applyFont="1" applyFill="1" applyBorder="1"/>
    <xf numFmtId="166" fontId="2" fillId="0" borderId="24" xfId="1" applyNumberFormat="1" applyFont="1" applyFill="1" applyBorder="1"/>
    <xf numFmtId="0" fontId="7" fillId="0" borderId="0" xfId="0" applyFont="1" applyAlignment="1">
      <alignment horizontal="center"/>
    </xf>
    <xf numFmtId="10" fontId="6" fillId="5" borderId="0" xfId="2" applyNumberFormat="1" applyFont="1" applyFill="1"/>
    <xf numFmtId="166" fontId="12" fillId="8" borderId="5" xfId="1" applyNumberFormat="1" applyFont="1" applyFill="1" applyBorder="1"/>
    <xf numFmtId="166" fontId="12" fillId="8" borderId="6" xfId="1" applyNumberFormat="1" applyFont="1" applyFill="1" applyBorder="1"/>
    <xf numFmtId="0" fontId="12" fillId="8" borderId="13" xfId="0" applyFont="1" applyFill="1" applyBorder="1" applyAlignment="1">
      <alignment horizontal="center"/>
    </xf>
    <xf numFmtId="0" fontId="12" fillId="8" borderId="4" xfId="0" applyFont="1" applyFill="1" applyBorder="1" applyAlignment="1">
      <alignment horizontal="center"/>
    </xf>
    <xf numFmtId="9" fontId="0" fillId="0" borderId="6" xfId="2" applyFont="1" applyBorder="1"/>
    <xf numFmtId="9" fontId="0" fillId="0" borderId="21" xfId="2" applyFont="1" applyBorder="1"/>
    <xf numFmtId="164" fontId="2" fillId="0" borderId="28" xfId="0" applyNumberFormat="1" applyFont="1" applyBorder="1"/>
    <xf numFmtId="9" fontId="2" fillId="0" borderId="2" xfId="2" applyFont="1" applyBorder="1"/>
    <xf numFmtId="0" fontId="0" fillId="0" borderId="29" xfId="0" applyBorder="1"/>
    <xf numFmtId="166" fontId="0" fillId="0" borderId="30" xfId="1" applyNumberFormat="1" applyFont="1" applyBorder="1"/>
    <xf numFmtId="166" fontId="0" fillId="0" borderId="31" xfId="1" applyNumberFormat="1" applyFont="1" applyFill="1" applyBorder="1"/>
    <xf numFmtId="167" fontId="2" fillId="0" borderId="24" xfId="1" applyNumberFormat="1" applyFont="1" applyBorder="1"/>
    <xf numFmtId="167" fontId="2" fillId="0" borderId="29" xfId="1" applyNumberFormat="1" applyFont="1" applyBorder="1"/>
    <xf numFmtId="0" fontId="12" fillId="2" borderId="13" xfId="0" applyFont="1" applyFill="1" applyBorder="1" applyAlignment="1">
      <alignment horizontal="center"/>
    </xf>
    <xf numFmtId="166" fontId="10" fillId="6" borderId="7" xfId="1" applyNumberFormat="1" applyFont="1" applyFill="1" applyBorder="1"/>
    <xf numFmtId="166" fontId="10" fillId="6" borderId="5" xfId="1" applyNumberFormat="1" applyFont="1" applyFill="1" applyBorder="1"/>
    <xf numFmtId="164" fontId="0" fillId="6" borderId="7" xfId="1" applyFont="1" applyFill="1" applyBorder="1"/>
    <xf numFmtId="164" fontId="0" fillId="6" borderId="5" xfId="1" applyFont="1" applyFill="1" applyBorder="1"/>
    <xf numFmtId="164" fontId="0" fillId="6" borderId="6" xfId="1" applyFont="1" applyFill="1" applyBorder="1"/>
    <xf numFmtId="9" fontId="0" fillId="0" borderId="0" xfId="2" applyFont="1" applyBorder="1"/>
    <xf numFmtId="9" fontId="2" fillId="0" borderId="0" xfId="2" applyFont="1" applyBorder="1"/>
    <xf numFmtId="166" fontId="0" fillId="0" borderId="0" xfId="1" applyNumberFormat="1" applyFont="1" applyBorder="1"/>
    <xf numFmtId="166" fontId="0" fillId="0" borderId="0" xfId="1" applyNumberFormat="1" applyFont="1" applyFill="1" applyBorder="1"/>
    <xf numFmtId="166" fontId="2" fillId="0" borderId="28" xfId="1" applyNumberFormat="1" applyFont="1" applyBorder="1"/>
    <xf numFmtId="0" fontId="0" fillId="3" borderId="13" xfId="0" applyFill="1" applyBorder="1" applyAlignment="1">
      <alignment horizontal="center"/>
    </xf>
    <xf numFmtId="166" fontId="0" fillId="0" borderId="27" xfId="1" applyNumberFormat="1" applyFont="1" applyFill="1" applyBorder="1"/>
    <xf numFmtId="166" fontId="0" fillId="0" borderId="21" xfId="1" applyNumberFormat="1" applyFont="1" applyBorder="1"/>
    <xf numFmtId="0" fontId="0" fillId="0" borderId="36" xfId="0" applyBorder="1"/>
    <xf numFmtId="0" fontId="0" fillId="0" borderId="37" xfId="0" applyBorder="1"/>
    <xf numFmtId="0" fontId="2" fillId="0" borderId="19" xfId="0" applyFont="1" applyBorder="1"/>
    <xf numFmtId="0" fontId="12" fillId="2" borderId="35" xfId="0" applyFont="1" applyFill="1" applyBorder="1" applyAlignment="1">
      <alignment horizontal="center"/>
    </xf>
    <xf numFmtId="0" fontId="0" fillId="5" borderId="36" xfId="0" applyFill="1" applyBorder="1"/>
    <xf numFmtId="166" fontId="10" fillId="6" borderId="8" xfId="1" applyNumberFormat="1" applyFont="1" applyFill="1" applyBorder="1"/>
    <xf numFmtId="166" fontId="10" fillId="6" borderId="6" xfId="1" applyNumberFormat="1" applyFont="1" applyFill="1" applyBorder="1"/>
    <xf numFmtId="166" fontId="0" fillId="6" borderId="0" xfId="1" applyNumberFormat="1" applyFont="1" applyFill="1"/>
    <xf numFmtId="0" fontId="14" fillId="2" borderId="0" xfId="0" applyFont="1" applyFill="1" applyAlignment="1">
      <alignment vertical="center"/>
    </xf>
    <xf numFmtId="0" fontId="14" fillId="0" borderId="0" xfId="0" applyFont="1" applyAlignment="1">
      <alignment vertical="center"/>
    </xf>
    <xf numFmtId="3" fontId="2" fillId="0" borderId="19" xfId="0" applyNumberFormat="1" applyFont="1" applyBorder="1"/>
    <xf numFmtId="3" fontId="2" fillId="0" borderId="21" xfId="0" applyNumberFormat="1" applyFont="1" applyBorder="1"/>
    <xf numFmtId="3" fontId="0" fillId="6" borderId="3" xfId="0" applyNumberFormat="1" applyFill="1" applyBorder="1"/>
    <xf numFmtId="3" fontId="0" fillId="6" borderId="4" xfId="0" applyNumberFormat="1" applyFill="1" applyBorder="1"/>
    <xf numFmtId="3" fontId="0" fillId="6" borderId="19" xfId="0" applyNumberFormat="1" applyFill="1" applyBorder="1"/>
    <xf numFmtId="3" fontId="0" fillId="6" borderId="21" xfId="0" applyNumberFormat="1" applyFill="1" applyBorder="1"/>
    <xf numFmtId="0" fontId="0" fillId="6" borderId="8" xfId="1" applyNumberFormat="1" applyFont="1" applyFill="1" applyBorder="1"/>
    <xf numFmtId="0" fontId="0" fillId="6" borderId="6" xfId="1" applyNumberFormat="1" applyFont="1" applyFill="1" applyBorder="1"/>
    <xf numFmtId="166" fontId="2" fillId="0" borderId="4" xfId="1" applyNumberFormat="1" applyFont="1" applyBorder="1"/>
    <xf numFmtId="166" fontId="2" fillId="0" borderId="6" xfId="1" applyNumberFormat="1" applyFont="1" applyBorder="1"/>
    <xf numFmtId="166" fontId="2" fillId="0" borderId="19" xfId="1" applyNumberFormat="1" applyFont="1" applyBorder="1"/>
    <xf numFmtId="166" fontId="2" fillId="0" borderId="21" xfId="1" applyNumberFormat="1" applyFont="1" applyBorder="1"/>
    <xf numFmtId="166" fontId="10" fillId="6" borderId="3" xfId="1" applyNumberFormat="1" applyFont="1" applyFill="1" applyBorder="1"/>
    <xf numFmtId="166" fontId="10" fillId="6" borderId="4" xfId="1" applyNumberFormat="1" applyFont="1" applyFill="1" applyBorder="1"/>
    <xf numFmtId="166" fontId="10" fillId="6" borderId="19" xfId="1" applyNumberFormat="1" applyFont="1" applyFill="1" applyBorder="1"/>
    <xf numFmtId="166" fontId="10" fillId="6" borderId="21" xfId="1" applyNumberFormat="1" applyFont="1" applyFill="1" applyBorder="1"/>
    <xf numFmtId="0" fontId="4" fillId="3" borderId="3" xfId="0" applyFont="1" applyFill="1" applyBorder="1" applyAlignment="1">
      <alignment horizontal="center"/>
    </xf>
    <xf numFmtId="0" fontId="4" fillId="3" borderId="22" xfId="0" applyFont="1" applyFill="1" applyBorder="1" applyAlignment="1">
      <alignment horizontal="center"/>
    </xf>
    <xf numFmtId="0" fontId="0" fillId="0" borderId="0" xfId="0" applyAlignment="1">
      <alignment vertical="center"/>
    </xf>
    <xf numFmtId="0" fontId="12" fillId="8" borderId="3" xfId="0" applyFont="1" applyFill="1" applyBorder="1" applyAlignment="1">
      <alignment horizontal="center"/>
    </xf>
    <xf numFmtId="0" fontId="0" fillId="0" borderId="19" xfId="0" applyBorder="1" applyAlignment="1">
      <alignment horizontal="center"/>
    </xf>
    <xf numFmtId="166" fontId="2" fillId="0" borderId="5" xfId="1" applyNumberFormat="1" applyFont="1" applyBorder="1"/>
    <xf numFmtId="166" fontId="2" fillId="5" borderId="5" xfId="1" applyNumberFormat="1" applyFont="1" applyFill="1" applyBorder="1"/>
    <xf numFmtId="166" fontId="2" fillId="0" borderId="5" xfId="1" applyNumberFormat="1" applyFont="1" applyFill="1" applyBorder="1"/>
    <xf numFmtId="0" fontId="0" fillId="0" borderId="32" xfId="0" applyBorder="1"/>
    <xf numFmtId="0" fontId="0" fillId="0" borderId="33" xfId="0" applyBorder="1"/>
    <xf numFmtId="164" fontId="0" fillId="0" borderId="24" xfId="1" applyFont="1" applyBorder="1"/>
    <xf numFmtId="0" fontId="10" fillId="0" borderId="23" xfId="0" applyFont="1" applyBorder="1" applyAlignment="1">
      <alignment vertical="center"/>
    </xf>
    <xf numFmtId="0" fontId="10" fillId="0" borderId="24" xfId="0" applyFont="1" applyBorder="1" applyAlignment="1">
      <alignment vertical="center"/>
    </xf>
    <xf numFmtId="0" fontId="10" fillId="0" borderId="38" xfId="0" applyFont="1" applyBorder="1" applyAlignment="1">
      <alignment vertical="center"/>
    </xf>
    <xf numFmtId="164" fontId="0" fillId="0" borderId="23" xfId="1" applyFont="1" applyBorder="1"/>
    <xf numFmtId="0" fontId="15" fillId="7" borderId="22" xfId="0" applyFont="1" applyFill="1" applyBorder="1" applyAlignment="1">
      <alignment horizontal="center" vertical="center"/>
    </xf>
    <xf numFmtId="0" fontId="16" fillId="2" borderId="0" xfId="0" applyFont="1" applyFill="1" applyAlignment="1">
      <alignment vertical="center"/>
    </xf>
    <xf numFmtId="0" fontId="12" fillId="2" borderId="34" xfId="0" applyFont="1" applyFill="1" applyBorder="1"/>
    <xf numFmtId="0" fontId="12" fillId="2" borderId="23" xfId="0" applyFont="1" applyFill="1" applyBorder="1"/>
    <xf numFmtId="166" fontId="10" fillId="0" borderId="10" xfId="1" applyNumberFormat="1" applyFont="1" applyFill="1" applyBorder="1"/>
    <xf numFmtId="0" fontId="4" fillId="0" borderId="39" xfId="0" applyFont="1" applyBorder="1" applyAlignment="1">
      <alignment horizontal="center"/>
    </xf>
    <xf numFmtId="0" fontId="4" fillId="0" borderId="40" xfId="0" applyFont="1" applyBorder="1" applyAlignment="1">
      <alignment horizontal="center"/>
    </xf>
    <xf numFmtId="166" fontId="0" fillId="0" borderId="10" xfId="1" applyNumberFormat="1" applyFont="1" applyBorder="1"/>
    <xf numFmtId="166" fontId="0" fillId="0" borderId="26" xfId="1" applyNumberFormat="1" applyFont="1" applyBorder="1"/>
    <xf numFmtId="10" fontId="0" fillId="0" borderId="24" xfId="2" applyNumberFormat="1" applyFont="1" applyBorder="1"/>
    <xf numFmtId="10" fontId="0" fillId="0" borderId="38" xfId="2" applyNumberFormat="1" applyFont="1" applyBorder="1"/>
    <xf numFmtId="0" fontId="0" fillId="0" borderId="3" xfId="0" applyBorder="1"/>
    <xf numFmtId="0" fontId="6" fillId="0" borderId="3" xfId="0" applyFont="1" applyBorder="1"/>
    <xf numFmtId="9" fontId="6" fillId="0" borderId="4" xfId="0" applyNumberFormat="1" applyFont="1" applyBorder="1"/>
    <xf numFmtId="0" fontId="6" fillId="0" borderId="5" xfId="0" applyFont="1" applyBorder="1"/>
    <xf numFmtId="9" fontId="6" fillId="0" borderId="6" xfId="0" applyNumberFormat="1" applyFont="1" applyBorder="1"/>
    <xf numFmtId="0" fontId="6" fillId="0" borderId="19" xfId="0" applyFont="1" applyBorder="1"/>
    <xf numFmtId="9" fontId="6" fillId="0" borderId="21" xfId="0" applyNumberFormat="1" applyFont="1" applyBorder="1"/>
    <xf numFmtId="164" fontId="0" fillId="0" borderId="13" xfId="1" applyFont="1" applyBorder="1"/>
    <xf numFmtId="0" fontId="0" fillId="0" borderId="4" xfId="0" applyBorder="1"/>
    <xf numFmtId="10" fontId="12" fillId="2" borderId="22" xfId="0" applyNumberFormat="1" applyFont="1" applyFill="1" applyBorder="1"/>
    <xf numFmtId="0" fontId="4" fillId="0" borderId="0" xfId="0" applyFont="1" applyAlignment="1">
      <alignment horizontal="center"/>
    </xf>
    <xf numFmtId="166" fontId="10" fillId="0" borderId="0" xfId="1" applyNumberFormat="1" applyFont="1" applyFill="1" applyBorder="1"/>
    <xf numFmtId="0" fontId="12" fillId="2" borderId="1" xfId="0" applyFont="1" applyFill="1" applyBorder="1"/>
    <xf numFmtId="164" fontId="12" fillId="2" borderId="2" xfId="0" applyNumberFormat="1" applyFont="1" applyFill="1" applyBorder="1"/>
    <xf numFmtId="0" fontId="4" fillId="0" borderId="12" xfId="0" applyFont="1" applyBorder="1" applyAlignment="1">
      <alignment horizontal="center"/>
    </xf>
    <xf numFmtId="0" fontId="0" fillId="0" borderId="20" xfId="0" applyBorder="1"/>
    <xf numFmtId="0" fontId="14" fillId="2" borderId="3" xfId="0" applyFont="1" applyFill="1" applyBorder="1" applyAlignment="1">
      <alignment horizontal="center" vertical="center"/>
    </xf>
    <xf numFmtId="0" fontId="14" fillId="2" borderId="13" xfId="0" applyFont="1" applyFill="1" applyBorder="1" applyAlignment="1">
      <alignment horizontal="center" vertical="center"/>
    </xf>
    <xf numFmtId="0" fontId="14" fillId="2" borderId="4" xfId="0" applyFont="1" applyFill="1" applyBorder="1" applyAlignment="1">
      <alignment horizontal="center" vertical="center"/>
    </xf>
    <xf numFmtId="0" fontId="12" fillId="2" borderId="1" xfId="0" applyFont="1" applyFill="1" applyBorder="1" applyAlignment="1">
      <alignment horizontal="center"/>
    </xf>
    <xf numFmtId="0" fontId="12" fillId="2" borderId="28" xfId="0" applyFont="1" applyFill="1" applyBorder="1" applyAlignment="1">
      <alignment horizontal="center"/>
    </xf>
    <xf numFmtId="0" fontId="12" fillId="2" borderId="2" xfId="0" applyFont="1" applyFill="1" applyBorder="1" applyAlignment="1">
      <alignment horizontal="center"/>
    </xf>
    <xf numFmtId="0" fontId="7" fillId="0" borderId="14" xfId="0" applyFont="1" applyBorder="1" applyAlignment="1">
      <alignment horizontal="center" vertical="center" wrapText="1"/>
    </xf>
    <xf numFmtId="0" fontId="7" fillId="0" borderId="27" xfId="0" applyFont="1" applyBorder="1" applyAlignment="1">
      <alignment horizontal="center" vertical="center" wrapText="1"/>
    </xf>
    <xf numFmtId="0" fontId="12" fillId="2" borderId="3" xfId="0" applyFont="1" applyFill="1" applyBorder="1" applyAlignment="1">
      <alignment horizontal="center"/>
    </xf>
    <xf numFmtId="0" fontId="12" fillId="2" borderId="13" xfId="0" applyFont="1" applyFill="1" applyBorder="1" applyAlignment="1">
      <alignment horizontal="center"/>
    </xf>
    <xf numFmtId="0" fontId="12" fillId="2" borderId="4" xfId="0" applyFont="1" applyFill="1" applyBorder="1" applyAlignment="1">
      <alignment horizontal="center"/>
    </xf>
    <xf numFmtId="0" fontId="5" fillId="4" borderId="3" xfId="0" applyFont="1" applyFill="1" applyBorder="1" applyAlignment="1">
      <alignment horizontal="center"/>
    </xf>
    <xf numFmtId="0" fontId="5" fillId="4" borderId="13" xfId="0" applyFont="1" applyFill="1" applyBorder="1" applyAlignment="1">
      <alignment horizontal="center"/>
    </xf>
    <xf numFmtId="0" fontId="5" fillId="4" borderId="4" xfId="0" applyFont="1" applyFill="1" applyBorder="1" applyAlignment="1">
      <alignment horizontal="center"/>
    </xf>
    <xf numFmtId="0" fontId="3" fillId="2" borderId="0" xfId="0" applyFont="1" applyFill="1" applyAlignment="1">
      <alignment horizontal="left" vertical="center"/>
    </xf>
    <xf numFmtId="0" fontId="5" fillId="4" borderId="11" xfId="0" applyFont="1" applyFill="1" applyBorder="1" applyAlignment="1">
      <alignment horizontal="center"/>
    </xf>
    <xf numFmtId="0" fontId="5" fillId="4" borderId="14" xfId="0" applyFont="1" applyFill="1" applyBorder="1" applyAlignment="1">
      <alignment horizontal="center"/>
    </xf>
    <xf numFmtId="0" fontId="5" fillId="4" borderId="12" xfId="0" applyFont="1" applyFill="1" applyBorder="1" applyAlignment="1">
      <alignment horizontal="center"/>
    </xf>
    <xf numFmtId="3" fontId="0" fillId="0" borderId="0" xfId="0" applyNumberFormat="1"/>
    <xf numFmtId="2" fontId="0" fillId="0" borderId="0" xfId="0" applyNumberFormat="1"/>
    <xf numFmtId="0" fontId="17" fillId="9" borderId="41" xfId="0" applyFont="1" applyFill="1" applyBorder="1" applyAlignment="1">
      <alignment vertical="top" wrapText="1"/>
    </xf>
    <xf numFmtId="0" fontId="0" fillId="0" borderId="41" xfId="0" applyBorder="1" applyAlignment="1">
      <alignment vertical="center"/>
    </xf>
    <xf numFmtId="0" fontId="0" fillId="0" borderId="41" xfId="0" applyBorder="1" applyAlignment="1">
      <alignment vertical="top" wrapText="1"/>
    </xf>
    <xf numFmtId="0" fontId="0" fillId="0" borderId="0" xfId="0" applyAlignment="1">
      <alignment vertical="top" wrapText="1"/>
    </xf>
    <xf numFmtId="0" fontId="0" fillId="0" borderId="0" xfId="0" applyAlignment="1">
      <alignment vertical="top"/>
    </xf>
    <xf numFmtId="0" fontId="0" fillId="0" borderId="42" xfId="0" applyBorder="1" applyAlignment="1">
      <alignment vertical="top" wrapText="1"/>
    </xf>
    <xf numFmtId="0" fontId="0" fillId="0" borderId="0" xfId="0" applyFill="1"/>
    <xf numFmtId="0" fontId="18" fillId="0" borderId="43" xfId="0" applyFont="1" applyBorder="1" applyAlignment="1">
      <alignment horizontal="center" vertical="center" wrapText="1"/>
    </xf>
    <xf numFmtId="0" fontId="19" fillId="0" borderId="43" xfId="0" applyFont="1" applyBorder="1" applyAlignment="1">
      <alignment horizontal="center" vertical="center" wrapText="1"/>
    </xf>
    <xf numFmtId="0" fontId="19" fillId="10" borderId="43" xfId="0" applyFont="1" applyFill="1" applyBorder="1" applyAlignment="1">
      <alignment horizontal="center" vertical="center" wrapText="1"/>
    </xf>
    <xf numFmtId="0" fontId="19" fillId="10" borderId="43" xfId="0" applyFont="1" applyFill="1" applyBorder="1" applyAlignment="1">
      <alignment horizontal="center" vertical="center" wrapText="1"/>
    </xf>
    <xf numFmtId="0" fontId="19" fillId="10" borderId="43" xfId="0" applyFont="1" applyFill="1" applyBorder="1" applyAlignment="1">
      <alignment vertical="center" wrapText="1"/>
    </xf>
    <xf numFmtId="43" fontId="19" fillId="10" borderId="43" xfId="3" applyFont="1" applyFill="1" applyBorder="1" applyAlignment="1">
      <alignment vertical="center" wrapText="1"/>
    </xf>
    <xf numFmtId="0" fontId="18" fillId="10" borderId="43" xfId="0" applyFont="1" applyFill="1" applyBorder="1" applyAlignment="1">
      <alignment horizontal="center" vertical="center" wrapText="1"/>
    </xf>
    <xf numFmtId="43" fontId="18" fillId="10" borderId="43" xfId="3" applyFont="1" applyFill="1" applyBorder="1" applyAlignment="1">
      <alignment vertical="center" wrapText="1"/>
    </xf>
    <xf numFmtId="0" fontId="19" fillId="11" borderId="43" xfId="0" applyFont="1" applyFill="1" applyBorder="1" applyAlignment="1">
      <alignment horizontal="center" vertical="center" wrapText="1"/>
    </xf>
    <xf numFmtId="0" fontId="19" fillId="11" borderId="43" xfId="0" applyFont="1" applyFill="1" applyBorder="1" applyAlignment="1">
      <alignment horizontal="center" vertical="center" wrapText="1"/>
    </xf>
    <xf numFmtId="0" fontId="19" fillId="11" borderId="43" xfId="0" applyFont="1" applyFill="1" applyBorder="1" applyAlignment="1">
      <alignment vertical="center" wrapText="1"/>
    </xf>
    <xf numFmtId="43" fontId="19" fillId="11" borderId="43" xfId="3" applyFont="1" applyFill="1" applyBorder="1" applyAlignment="1">
      <alignment vertical="center" wrapText="1"/>
    </xf>
    <xf numFmtId="0" fontId="18" fillId="11" borderId="43" xfId="0" applyFont="1" applyFill="1" applyBorder="1" applyAlignment="1">
      <alignment horizontal="center" vertical="center" wrapText="1"/>
    </xf>
    <xf numFmtId="43" fontId="18" fillId="11" borderId="43" xfId="3" applyFont="1" applyFill="1" applyBorder="1" applyAlignment="1">
      <alignment vertical="center" wrapText="1"/>
    </xf>
    <xf numFmtId="0" fontId="19" fillId="12" borderId="43" xfId="0" applyFont="1" applyFill="1" applyBorder="1" applyAlignment="1">
      <alignment horizontal="center" vertical="center" wrapText="1"/>
    </xf>
    <xf numFmtId="0" fontId="19" fillId="12" borderId="43" xfId="0" applyFont="1" applyFill="1" applyBorder="1" applyAlignment="1">
      <alignment horizontal="center" vertical="center" wrapText="1"/>
    </xf>
    <xf numFmtId="0" fontId="19" fillId="12" borderId="43" xfId="0" applyFont="1" applyFill="1" applyBorder="1" applyAlignment="1">
      <alignment vertical="center" wrapText="1"/>
    </xf>
    <xf numFmtId="43" fontId="19" fillId="12" borderId="43" xfId="3" applyFont="1" applyFill="1" applyBorder="1" applyAlignment="1">
      <alignment vertical="center" wrapText="1"/>
    </xf>
    <xf numFmtId="0" fontId="18" fillId="12" borderId="43" xfId="0" applyFont="1" applyFill="1" applyBorder="1" applyAlignment="1">
      <alignment horizontal="center" vertical="center" wrapText="1"/>
    </xf>
    <xf numFmtId="43" fontId="18" fillId="12" borderId="43" xfId="3" applyFont="1" applyFill="1" applyBorder="1" applyAlignment="1">
      <alignment vertical="center" wrapText="1"/>
    </xf>
    <xf numFmtId="0" fontId="19" fillId="13" borderId="43" xfId="0" applyFont="1" applyFill="1" applyBorder="1" applyAlignment="1">
      <alignment horizontal="center" vertical="center" wrapText="1"/>
    </xf>
    <xf numFmtId="0" fontId="19" fillId="13" borderId="43" xfId="0" applyFont="1" applyFill="1" applyBorder="1" applyAlignment="1">
      <alignment horizontal="center" vertical="center" wrapText="1"/>
    </xf>
    <xf numFmtId="0" fontId="19" fillId="13" borderId="43" xfId="0" applyFont="1" applyFill="1" applyBorder="1" applyAlignment="1">
      <alignment vertical="center" wrapText="1"/>
    </xf>
    <xf numFmtId="43" fontId="19" fillId="13" borderId="43" xfId="3" applyFont="1" applyFill="1" applyBorder="1" applyAlignment="1">
      <alignment vertical="center" wrapText="1"/>
    </xf>
    <xf numFmtId="0" fontId="18" fillId="13" borderId="43" xfId="0" applyFont="1" applyFill="1" applyBorder="1" applyAlignment="1">
      <alignment horizontal="center" vertical="center" wrapText="1"/>
    </xf>
    <xf numFmtId="43" fontId="18" fillId="13" borderId="43" xfId="3" applyFont="1" applyFill="1" applyBorder="1" applyAlignment="1">
      <alignment vertical="center" wrapText="1"/>
    </xf>
    <xf numFmtId="0" fontId="19" fillId="14" borderId="43" xfId="0" applyFont="1" applyFill="1" applyBorder="1" applyAlignment="1">
      <alignment horizontal="center" vertical="center" wrapText="1"/>
    </xf>
    <xf numFmtId="0" fontId="19" fillId="14" borderId="43" xfId="0" applyFont="1" applyFill="1" applyBorder="1" applyAlignment="1">
      <alignment horizontal="center" vertical="center" wrapText="1"/>
    </xf>
    <xf numFmtId="0" fontId="19" fillId="14" borderId="43" xfId="0" applyFont="1" applyFill="1" applyBorder="1" applyAlignment="1">
      <alignment vertical="center" wrapText="1"/>
    </xf>
    <xf numFmtId="43" fontId="19" fillId="14" borderId="43" xfId="3" applyFont="1" applyFill="1" applyBorder="1" applyAlignment="1">
      <alignment vertical="center" wrapText="1"/>
    </xf>
    <xf numFmtId="0" fontId="18" fillId="14" borderId="43" xfId="0" applyFont="1" applyFill="1" applyBorder="1" applyAlignment="1">
      <alignment horizontal="center" vertical="center" wrapText="1"/>
    </xf>
    <xf numFmtId="43" fontId="18" fillId="14" borderId="43" xfId="3" applyFont="1" applyFill="1" applyBorder="1" applyAlignment="1">
      <alignment vertical="center" wrapText="1"/>
    </xf>
    <xf numFmtId="0" fontId="19" fillId="15" borderId="43" xfId="0" applyFont="1" applyFill="1" applyBorder="1" applyAlignment="1">
      <alignment horizontal="center" vertical="center" wrapText="1"/>
    </xf>
    <xf numFmtId="0" fontId="19" fillId="15" borderId="43" xfId="0" applyFont="1" applyFill="1" applyBorder="1" applyAlignment="1">
      <alignment horizontal="center" vertical="center" wrapText="1"/>
    </xf>
    <xf numFmtId="0" fontId="19" fillId="15" borderId="43" xfId="0" applyFont="1" applyFill="1" applyBorder="1" applyAlignment="1">
      <alignment horizontal="left" vertical="center" wrapText="1"/>
    </xf>
    <xf numFmtId="43" fontId="19" fillId="15" borderId="43" xfId="3" applyFont="1" applyFill="1" applyBorder="1" applyAlignment="1">
      <alignment vertical="center" wrapText="1"/>
    </xf>
    <xf numFmtId="0" fontId="18" fillId="15" borderId="43" xfId="0" applyFont="1" applyFill="1" applyBorder="1" applyAlignment="1">
      <alignment horizontal="center" vertical="center" wrapText="1"/>
    </xf>
    <xf numFmtId="43" fontId="18" fillId="15" borderId="43" xfId="3" applyFont="1" applyFill="1" applyBorder="1" applyAlignment="1">
      <alignment vertical="center" wrapText="1"/>
    </xf>
    <xf numFmtId="0" fontId="19" fillId="0" borderId="0" xfId="0" applyFont="1" applyAlignment="1">
      <alignment vertical="center"/>
    </xf>
    <xf numFmtId="0" fontId="18" fillId="16" borderId="44" xfId="0" applyFont="1" applyFill="1" applyBorder="1" applyAlignment="1">
      <alignment vertical="center" wrapText="1"/>
    </xf>
    <xf numFmtId="0" fontId="18" fillId="16" borderId="45" xfId="0" applyFont="1" applyFill="1" applyBorder="1" applyAlignment="1">
      <alignment horizontal="center" vertical="center" wrapText="1"/>
    </xf>
    <xf numFmtId="0" fontId="18" fillId="16" borderId="46" xfId="0" applyFont="1" applyFill="1" applyBorder="1" applyAlignment="1">
      <alignment horizontal="center" vertical="center" wrapText="1"/>
    </xf>
    <xf numFmtId="43" fontId="18" fillId="16" borderId="46" xfId="3" applyFont="1" applyFill="1" applyBorder="1" applyAlignment="1">
      <alignment vertical="center" wrapText="1"/>
    </xf>
    <xf numFmtId="164" fontId="12" fillId="2" borderId="21" xfId="0" applyNumberFormat="1" applyFont="1" applyFill="1" applyBorder="1"/>
    <xf numFmtId="164" fontId="0" fillId="0" borderId="38" xfId="1" applyFont="1" applyBorder="1"/>
    <xf numFmtId="0" fontId="4" fillId="0" borderId="11" xfId="0" applyFont="1" applyBorder="1" applyAlignment="1"/>
    <xf numFmtId="0" fontId="0" fillId="0" borderId="47" xfId="0" applyBorder="1"/>
    <xf numFmtId="0" fontId="4" fillId="0" borderId="12" xfId="0" applyFont="1" applyBorder="1" applyAlignment="1">
      <alignment horizontal="center" vertical="center"/>
    </xf>
    <xf numFmtId="0" fontId="20" fillId="0" borderId="0" xfId="0" applyFont="1"/>
    <xf numFmtId="0" fontId="6" fillId="5" borderId="0" xfId="2" applyNumberFormat="1" applyFont="1" applyFill="1"/>
  </cellXfs>
  <cellStyles count="4">
    <cellStyle name="Milliers" xfId="1" builtinId="3"/>
    <cellStyle name="Milliers 2" xfId="3" xr:uid="{DA1F244F-5278-0047-BC6F-D8B1A2BCC0F8}"/>
    <cellStyle name="Normal" xfId="0" builtinId="0"/>
    <cellStyle name="Pourcentage" xfId="2" builtinId="5"/>
  </cellStyles>
  <dxfs count="11">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Poppins"/>
        <family val="2"/>
        <scheme val="minor"/>
      </font>
      <alignment horizontal="general" vertical="center" textRotation="0" wrapText="0" indent="0" justifyLastLine="0" shrinkToFit="0" readingOrder="0"/>
      <border diagonalUp="0" diagonalDown="0" outline="0">
        <left/>
        <right/>
        <top style="thin">
          <color theme="4"/>
        </top>
        <bottom/>
      </border>
    </dxf>
    <dxf>
      <alignment horizontal="general" vertical="top" textRotation="0" indent="0" justifyLastLine="0" shrinkToFit="0" readingOrder="0"/>
    </dxf>
    <dxf>
      <font>
        <b/>
        <i val="0"/>
        <strike val="0"/>
        <condense val="0"/>
        <extend val="0"/>
        <outline val="0"/>
        <shadow val="0"/>
        <u val="none"/>
        <vertAlign val="baseline"/>
        <sz val="11"/>
        <color theme="1"/>
        <name val="Poppins"/>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spc="0" baseline="0">
                <a:solidFill>
                  <a:schemeClr val="tx1">
                    <a:lumMod val="65000"/>
                    <a:lumOff val="35000"/>
                  </a:schemeClr>
                </a:solidFill>
                <a:latin typeface="+mn-lt"/>
                <a:ea typeface="+mn-ea"/>
                <a:cs typeface="+mn-cs"/>
              </a:defRPr>
            </a:pPr>
            <a:r>
              <a:rPr lang="fr-FR" sz="1050" b="1"/>
              <a:t>Répartition de</a:t>
            </a:r>
            <a:r>
              <a:rPr lang="fr-FR" sz="1050" b="1" baseline="0"/>
              <a:t> l'empreinte carbone - Par lot</a:t>
            </a:r>
            <a:endParaRPr lang="fr-FR" sz="1050" b="1"/>
          </a:p>
        </c:rich>
      </c:tx>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F4-4434-A0C8-ACE661D2761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F4-4434-A0C8-ACE661D2761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E1-D04F-BCDE-A4E3D21737B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Indicateurs!$B$4:$B$6</c:f>
              <c:strCache>
                <c:ptCount val="3"/>
                <c:pt idx="0">
                  <c:v>CA SUD</c:v>
                </c:pt>
                <c:pt idx="1">
                  <c:v> St-Leu</c:v>
                </c:pt>
                <c:pt idx="2">
                  <c:v>CiNOR</c:v>
                </c:pt>
              </c:strCache>
            </c:strRef>
          </c:cat>
          <c:val>
            <c:numRef>
              <c:f>Indicateurs!$E$4:$E$6</c:f>
              <c:numCache>
                <c:formatCode>_-* #\ ##0_-;\-* #\ ##0_-;_-* "-"??_-;_-@_-</c:formatCode>
                <c:ptCount val="3"/>
                <c:pt idx="0">
                  <c:v>7851075.3308148757</c:v>
                </c:pt>
                <c:pt idx="1">
                  <c:v>2665562.4596109036</c:v>
                </c:pt>
              </c:numCache>
            </c:numRef>
          </c:val>
          <c:extLst>
            <c:ext xmlns:c16="http://schemas.microsoft.com/office/drawing/2014/chart" uri="{C3380CC4-5D6E-409C-BE32-E72D297353CC}">
              <c16:uniqueId val="{00000000-9F55-4894-B297-FB6ADD933EA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fr-FR" sz="1050" b="1" i="0" u="none" strike="noStrike" kern="1200" spc="0" baseline="0">
                <a:solidFill>
                  <a:sysClr val="windowText" lastClr="000000">
                    <a:lumMod val="65000"/>
                    <a:lumOff val="35000"/>
                  </a:sysClr>
                </a:solidFill>
              </a:rPr>
              <a:t>Répartition de l'empreinte carbone - Par activité</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2-216A-4958-B00E-6226CDE080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216A-4958-B00E-6226CDE08079}"/>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Indicateurs!$C$3:$D$3</c:f>
              <c:strCache>
                <c:ptCount val="2"/>
                <c:pt idx="0">
                  <c:v>AEP</c:v>
                </c:pt>
                <c:pt idx="1">
                  <c:v>EU</c:v>
                </c:pt>
              </c:strCache>
            </c:strRef>
          </c:cat>
          <c:val>
            <c:numRef>
              <c:f>Indicateurs!$C$7:$D$7</c:f>
              <c:numCache>
                <c:formatCode>_-* #\ ##0_-;\-* #\ ##0_-;_-* "-"??_-;_-@_-</c:formatCode>
                <c:ptCount val="2"/>
                <c:pt idx="0">
                  <c:v>10516637.790425779</c:v>
                </c:pt>
                <c:pt idx="1">
                  <c:v>0</c:v>
                </c:pt>
              </c:numCache>
            </c:numRef>
          </c:val>
          <c:extLst>
            <c:ext xmlns:c16="http://schemas.microsoft.com/office/drawing/2014/chart" uri="{C3380CC4-5D6E-409C-BE32-E72D297353CC}">
              <c16:uniqueId val="{00000000-216A-4958-B00E-6226CDE0807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l'empreinte</a:t>
            </a:r>
            <a:r>
              <a:rPr lang="fr-FR" sz="1100" b="1" baseline="0"/>
              <a:t> CO2 - Par lot AEP</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11D-4A64-8703-5A42F9DA835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11D-4A64-8703-5A42F9DA835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5B8-8F4B-8E33-5EEE4EED7BC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Indicateurs!$B$4:$B$6</c:f>
              <c:strCache>
                <c:ptCount val="3"/>
                <c:pt idx="0">
                  <c:v>CA SUD</c:v>
                </c:pt>
                <c:pt idx="1">
                  <c:v> St-Leu</c:v>
                </c:pt>
                <c:pt idx="2">
                  <c:v>CiNOR</c:v>
                </c:pt>
              </c:strCache>
            </c:strRef>
          </c:cat>
          <c:val>
            <c:numRef>
              <c:f>Indicateurs!$C$4:$C$6</c:f>
              <c:numCache>
                <c:formatCode>_-* #\ ##0_-;\-* #\ ##0_-;_-* "-"??_-;_-@_-</c:formatCode>
                <c:ptCount val="3"/>
                <c:pt idx="0">
                  <c:v>7851075.3308148757</c:v>
                </c:pt>
                <c:pt idx="1">
                  <c:v>2665562.4596109036</c:v>
                </c:pt>
                <c:pt idx="2">
                  <c:v>5963320</c:v>
                </c:pt>
              </c:numCache>
            </c:numRef>
          </c:val>
          <c:extLst>
            <c:ext xmlns:c16="http://schemas.microsoft.com/office/drawing/2014/chart" uri="{C3380CC4-5D6E-409C-BE32-E72D297353CC}">
              <c16:uniqueId val="{00000000-F6D3-4F90-92DF-6F9B1719EF3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des m3 d'eau distribués - AEP</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2-A282-4E3E-8C9D-F8DAF135E11C}"/>
              </c:ext>
            </c:extLst>
          </c:dPt>
          <c:dPt>
            <c:idx val="1"/>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1-A282-4E3E-8C9D-F8DAF135E11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DC-294C-B10E-CE1E604F81FF}"/>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Indicateurs!$B$10:$B$12</c:f>
              <c:strCache>
                <c:ptCount val="3"/>
                <c:pt idx="0">
                  <c:v>CA SUD</c:v>
                </c:pt>
                <c:pt idx="1">
                  <c:v> St-Leu</c:v>
                </c:pt>
                <c:pt idx="2">
                  <c:v>CiNOR</c:v>
                </c:pt>
              </c:strCache>
            </c:strRef>
          </c:cat>
          <c:val>
            <c:numRef>
              <c:f>Indicateurs!$C$10:$C$12</c:f>
              <c:numCache>
                <c:formatCode>#,##0</c:formatCode>
                <c:ptCount val="3"/>
                <c:pt idx="0">
                  <c:v>21959610</c:v>
                </c:pt>
                <c:pt idx="1">
                  <c:v>6671405</c:v>
                </c:pt>
                <c:pt idx="2">
                  <c:v>1958462</c:v>
                </c:pt>
              </c:numCache>
            </c:numRef>
          </c:val>
          <c:extLst>
            <c:ext xmlns:c16="http://schemas.microsoft.com/office/drawing/2014/chart" uri="{C3380CC4-5D6E-409C-BE32-E72D297353CC}">
              <c16:uniqueId val="{00000000-A282-4E3E-8C9D-F8DAF135E11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l'empreinte CO2 - Par</a:t>
            </a:r>
            <a:r>
              <a:rPr lang="fr-FR" sz="1100" b="1" baseline="0"/>
              <a:t> lot EU</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497-4655-9892-7BCAD40CDFB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497-4655-9892-7BCAD40CDFB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D0D-BC47-8A5D-D1942F9D0E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Indicateurs!$B$4:$B$6</c:f>
              <c:strCache>
                <c:ptCount val="3"/>
                <c:pt idx="0">
                  <c:v>CA SUD</c:v>
                </c:pt>
                <c:pt idx="1">
                  <c:v> St-Leu</c:v>
                </c:pt>
                <c:pt idx="2">
                  <c:v>CiNOR</c:v>
                </c:pt>
              </c:strCache>
            </c:strRef>
          </c:cat>
          <c:val>
            <c:numRef>
              <c:f>Indicateurs!$D$4:$D$6</c:f>
              <c:numCache>
                <c:formatCode>_-* #\ ##0_-;\-* #\ ##0_-;_-* "-"??_-;_-@_-</c:formatCode>
                <c:ptCount val="3"/>
                <c:pt idx="0">
                  <c:v>0</c:v>
                </c:pt>
                <c:pt idx="1">
                  <c:v>0</c:v>
                </c:pt>
                <c:pt idx="2">
                  <c:v>177247.71672949998</c:v>
                </c:pt>
              </c:numCache>
            </c:numRef>
          </c:val>
          <c:extLst>
            <c:ext xmlns:c16="http://schemas.microsoft.com/office/drawing/2014/chart" uri="{C3380CC4-5D6E-409C-BE32-E72D297353CC}">
              <c16:uniqueId val="{00000000-0779-48CF-BFDB-96232151487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des m3 d'eau assujettis - EU</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2-993B-4D15-A366-FBFF76FDB52D}"/>
              </c:ext>
            </c:extLst>
          </c:dPt>
          <c:dPt>
            <c:idx val="1"/>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1-993B-4D15-A366-FBFF76FDB5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BE-DD44-B095-542676147200}"/>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Indicateurs!$B$10:$B$12</c:f>
              <c:strCache>
                <c:ptCount val="3"/>
                <c:pt idx="0">
                  <c:v>CA SUD</c:v>
                </c:pt>
                <c:pt idx="1">
                  <c:v> St-Leu</c:v>
                </c:pt>
                <c:pt idx="2">
                  <c:v>CiNOR</c:v>
                </c:pt>
              </c:strCache>
            </c:strRef>
          </c:cat>
          <c:val>
            <c:numRef>
              <c:f>Indicateurs!$D$10:$D$12</c:f>
              <c:numCache>
                <c:formatCode>#,##0</c:formatCode>
                <c:ptCount val="3"/>
                <c:pt idx="0">
                  <c:v>0</c:v>
                </c:pt>
                <c:pt idx="1">
                  <c:v>0</c:v>
                </c:pt>
                <c:pt idx="2">
                  <c:v>272462</c:v>
                </c:pt>
              </c:numCache>
            </c:numRef>
          </c:val>
          <c:extLst>
            <c:ext xmlns:c16="http://schemas.microsoft.com/office/drawing/2014/chart" uri="{C3380CC4-5D6E-409C-BE32-E72D297353CC}">
              <c16:uniqueId val="{00000000-993B-4D15-A366-FBFF76FDB52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fr-FR" sz="900" b="1"/>
              <a:t>Répartition de</a:t>
            </a:r>
            <a:r>
              <a:rPr lang="fr-FR" sz="900" b="1" baseline="0"/>
              <a:t> l'empreinte CO2 - Par lot (chauffage inclus)</a:t>
            </a:r>
            <a:endParaRPr lang="fr-FR" sz="900" b="1"/>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D3C-4A32-B342-8E4D3F30EFA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D3C-4A32-B342-8E4D3F30EFA0}"/>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Indicateurs!$B$33:$B$34</c:f>
              <c:strCache>
                <c:ptCount val="2"/>
                <c:pt idx="0">
                  <c:v>CA SUD</c:v>
                </c:pt>
                <c:pt idx="1">
                  <c:v> St-Leu</c:v>
                </c:pt>
              </c:strCache>
            </c:strRef>
          </c:cat>
          <c:val>
            <c:numRef>
              <c:f>Indicateurs!$E$33:$E$34</c:f>
              <c:numCache>
                <c:formatCode>_-* #\ ##0_-;\-* #\ ##0_-;_-* "-"??_-;_-@_-</c:formatCode>
                <c:ptCount val="2"/>
                <c:pt idx="0">
                  <c:v>48842347.330814876</c:v>
                </c:pt>
                <c:pt idx="1">
                  <c:v>15118851.792944236</c:v>
                </c:pt>
              </c:numCache>
            </c:numRef>
          </c:val>
          <c:extLst>
            <c:ext xmlns:c16="http://schemas.microsoft.com/office/drawing/2014/chart" uri="{C3380CC4-5D6E-409C-BE32-E72D297353CC}">
              <c16:uniqueId val="{00000000-C63B-46A7-99E1-1390DC0143B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l'empreinte CO2 - Par activité (chauffage</a:t>
            </a:r>
            <a:r>
              <a:rPr lang="fr-FR" sz="1100" b="1" baseline="0"/>
              <a:t> inclus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5F-419B-BD92-8E759B2DEF4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65F-419B-BD92-8E759B2DEF42}"/>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Indicateurs!$C$32:$D$32</c:f>
              <c:strCache>
                <c:ptCount val="2"/>
                <c:pt idx="0">
                  <c:v>AEP</c:v>
                </c:pt>
                <c:pt idx="1">
                  <c:v>EU</c:v>
                </c:pt>
              </c:strCache>
            </c:strRef>
          </c:cat>
          <c:val>
            <c:numRef>
              <c:f>Indicateurs!$C$36:$D$36</c:f>
              <c:numCache>
                <c:formatCode>_-* #\ ##0_-;\-* #\ ##0_-;_-* "-"??_-;_-@_-</c:formatCode>
                <c:ptCount val="2"/>
                <c:pt idx="0">
                  <c:v>63961199.123759113</c:v>
                </c:pt>
                <c:pt idx="1">
                  <c:v>0</c:v>
                </c:pt>
              </c:numCache>
            </c:numRef>
          </c:val>
          <c:extLst>
            <c:ext xmlns:c16="http://schemas.microsoft.com/office/drawing/2014/chart" uri="{C3380CC4-5D6E-409C-BE32-E72D297353CC}">
              <c16:uniqueId val="{00000000-3ECE-4A9E-B242-193E72216F3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des m3 consommés - AEP</a:t>
            </a:r>
            <a:endParaRPr lang="fr-FR" sz="11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1-7E8B-4F0F-AF16-502228B4F128}"/>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Indicateurs!$B$30:$B$30</c:f>
              <c:numCache>
                <c:formatCode>General</c:formatCode>
                <c:ptCount val="1"/>
              </c:numCache>
            </c:numRef>
          </c:cat>
          <c:val>
            <c:numRef>
              <c:f>Indicateurs!$C$30:$C$30</c:f>
              <c:numCache>
                <c:formatCode>General</c:formatCode>
                <c:ptCount val="1"/>
              </c:numCache>
            </c:numRef>
          </c:val>
          <c:extLst>
            <c:ext xmlns:c16="http://schemas.microsoft.com/office/drawing/2014/chart" uri="{C3380CC4-5D6E-409C-BE32-E72D297353CC}">
              <c16:uniqueId val="{00000000-7E8B-4F0F-AF16-502228B4F12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100" b="1"/>
              <a:t>Répartition des m3 épurés</a:t>
            </a:r>
            <a:r>
              <a:rPr lang="fr-FR" sz="1100" b="1" baseline="0"/>
              <a:t> - EU</a:t>
            </a:r>
            <a:endParaRPr lang="fr-FR" sz="11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2-8400-45CF-9B12-CEC4AFBAB313}"/>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Indicateurs!$B$30:$B$30</c:f>
              <c:numCache>
                <c:formatCode>General</c:formatCode>
                <c:ptCount val="1"/>
              </c:numCache>
            </c:numRef>
          </c:cat>
          <c:val>
            <c:numRef>
              <c:f>Indicateurs!$D$30:$D$30</c:f>
              <c:numCache>
                <c:formatCode>General</c:formatCode>
                <c:ptCount val="1"/>
              </c:numCache>
            </c:numRef>
          </c:val>
          <c:extLst>
            <c:ext xmlns:c16="http://schemas.microsoft.com/office/drawing/2014/chart" uri="{C3380CC4-5D6E-409C-BE32-E72D297353CC}">
              <c16:uniqueId val="{00000000-8400-45CF-9B12-CEC4AFBAB31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r>
              <a:rPr lang="en-US" sz="1050" b="1" i="0" u="none" strike="noStrike" kern="1200" spc="0" baseline="0">
                <a:solidFill>
                  <a:sysClr val="windowText" lastClr="000000">
                    <a:lumMod val="65000"/>
                    <a:lumOff val="35000"/>
                  </a:sysClr>
                </a:solidFill>
                <a:latin typeface="+mn-lt"/>
                <a:ea typeface="+mn-ea"/>
                <a:cs typeface="+mn-cs"/>
              </a:rPr>
              <a:t>Répartition de l'empreinte du lot X - Par activité</a:t>
            </a:r>
          </a:p>
        </c:rich>
      </c:tx>
      <c:overlay val="0"/>
      <c:spPr>
        <a:noFill/>
        <a:ln>
          <a:noFill/>
        </a:ln>
        <a:effectLst/>
      </c:spPr>
      <c:txPr>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doughnutChart>
        <c:varyColors val="1"/>
        <c:ser>
          <c:idx val="0"/>
          <c:order val="0"/>
          <c:tx>
            <c:v>Empreinte Lot EST</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DD-1E40-9F8A-CDB590F04EC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DD-1E40-9F8A-CDB590F04EC3}"/>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Indicateurs!$C$3:$D$3</c:f>
              <c:strCache>
                <c:ptCount val="2"/>
                <c:pt idx="0">
                  <c:v>AEP</c:v>
                </c:pt>
                <c:pt idx="1">
                  <c:v>EU</c:v>
                </c:pt>
              </c:strCache>
            </c:strRef>
          </c:cat>
          <c:val>
            <c:numRef>
              <c:f>Indicateurs!$C$4:$D$4</c:f>
              <c:numCache>
                <c:formatCode>_-* #\ ##0_-;\-* #\ ##0_-;_-* "-"??_-;_-@_-</c:formatCode>
                <c:ptCount val="2"/>
                <c:pt idx="0">
                  <c:v>7851075.3308148757</c:v>
                </c:pt>
                <c:pt idx="1">
                  <c:v>0</c:v>
                </c:pt>
              </c:numCache>
            </c:numRef>
          </c:val>
          <c:extLst>
            <c:ext xmlns:c16="http://schemas.microsoft.com/office/drawing/2014/chart" uri="{C3380CC4-5D6E-409C-BE32-E72D297353CC}">
              <c16:uniqueId val="{00000000-16A4-43E1-9A0B-7CFD6FF5B92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Comparaison de l'impact entre lots - Postes</a:t>
            </a:r>
            <a:r>
              <a:rPr lang="fr-FR" sz="1100" b="1" baseline="0"/>
              <a:t> majeurs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Global!$D$22</c:f>
              <c:strCache>
                <c:ptCount val="1"/>
                <c:pt idx="0">
                  <c:v>CA SUD</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Global!$C$23:$C$25</c:f>
              <c:strCache>
                <c:ptCount val="3"/>
                <c:pt idx="0">
                  <c:v>Intrants - Travaux</c:v>
                </c:pt>
                <c:pt idx="1">
                  <c:v>Intrants - Imports d'eau</c:v>
                </c:pt>
                <c:pt idx="2">
                  <c:v>Electricité</c:v>
                </c:pt>
              </c:strCache>
            </c:strRef>
          </c:cat>
          <c:val>
            <c:numRef>
              <c:f>Global!$D$23:$D$25</c:f>
              <c:numCache>
                <c:formatCode>_-* #\ ##0_-;\-* #\ ##0_-;_-* "-"??_-;_-@_-</c:formatCode>
                <c:ptCount val="3"/>
                <c:pt idx="0">
                  <c:v>4232000</c:v>
                </c:pt>
                <c:pt idx="1">
                  <c:v>1214640.504</c:v>
                </c:pt>
                <c:pt idx="2">
                  <c:v>1296366.1779999998</c:v>
                </c:pt>
              </c:numCache>
            </c:numRef>
          </c:val>
          <c:extLst>
            <c:ext xmlns:c16="http://schemas.microsoft.com/office/drawing/2014/chart" uri="{C3380CC4-5D6E-409C-BE32-E72D297353CC}">
              <c16:uniqueId val="{00000000-6AD0-41A7-A209-82DE2CE790F3}"/>
            </c:ext>
          </c:extLst>
        </c:ser>
        <c:ser>
          <c:idx val="1"/>
          <c:order val="1"/>
          <c:tx>
            <c:strRef>
              <c:f>Global!$E$22</c:f>
              <c:strCache>
                <c:ptCount val="1"/>
                <c:pt idx="0">
                  <c:v> St-Leu</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Global!$C$23:$C$25</c:f>
              <c:strCache>
                <c:ptCount val="3"/>
                <c:pt idx="0">
                  <c:v>Intrants - Travaux</c:v>
                </c:pt>
                <c:pt idx="1">
                  <c:v>Intrants - Imports d'eau</c:v>
                </c:pt>
                <c:pt idx="2">
                  <c:v>Electricité</c:v>
                </c:pt>
              </c:strCache>
            </c:strRef>
          </c:cat>
          <c:val>
            <c:numRef>
              <c:f>Global!$E$23:$E$25</c:f>
              <c:numCache>
                <c:formatCode>_-* #\ ##0_-;\-* #\ ##0_-;_-* "-"??_-;_-@_-</c:formatCode>
                <c:ptCount val="3"/>
                <c:pt idx="0">
                  <c:v>1497468</c:v>
                </c:pt>
                <c:pt idx="1">
                  <c:v>569339.1</c:v>
                </c:pt>
                <c:pt idx="2">
                  <c:v>311083.40599999996</c:v>
                </c:pt>
              </c:numCache>
            </c:numRef>
          </c:val>
          <c:extLst>
            <c:ext xmlns:c16="http://schemas.microsoft.com/office/drawing/2014/chart" uri="{C3380CC4-5D6E-409C-BE32-E72D297353CC}">
              <c16:uniqueId val="{00000001-6AD0-41A7-A209-82DE2CE790F3}"/>
            </c:ext>
          </c:extLst>
        </c:ser>
        <c:ser>
          <c:idx val="2"/>
          <c:order val="2"/>
          <c:tx>
            <c:strRef>
              <c:f>Global!$F$22</c:f>
              <c:strCache>
                <c:ptCount val="1"/>
                <c:pt idx="0">
                  <c:v>CiNOR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Global!$C$23:$C$25</c:f>
              <c:strCache>
                <c:ptCount val="3"/>
                <c:pt idx="0">
                  <c:v>Intrants - Travaux</c:v>
                </c:pt>
                <c:pt idx="1">
                  <c:v>Intrants - Imports d'eau</c:v>
                </c:pt>
                <c:pt idx="2">
                  <c:v>Electricité</c:v>
                </c:pt>
              </c:strCache>
            </c:strRef>
          </c:cat>
          <c:val>
            <c:numRef>
              <c:f>Global!$F$23:$F$25</c:f>
              <c:numCache>
                <c:formatCode>_-* #\ ##0_-;\-* #\ ##0_-;_-* "-"??_-;_-@_-</c:formatCode>
                <c:ptCount val="3"/>
                <c:pt idx="0">
                  <c:v>3142391</c:v>
                </c:pt>
                <c:pt idx="1">
                  <c:v>999999</c:v>
                </c:pt>
                <c:pt idx="2">
                  <c:v>909958.29399999999</c:v>
                </c:pt>
              </c:numCache>
            </c:numRef>
          </c:val>
          <c:extLst>
            <c:ext xmlns:c16="http://schemas.microsoft.com/office/drawing/2014/chart" uri="{C3380CC4-5D6E-409C-BE32-E72D297353CC}">
              <c16:uniqueId val="{00000000-CCE2-C243-9A0A-0EBDE1741B05}"/>
            </c:ext>
          </c:extLst>
        </c:ser>
        <c:dLbls>
          <c:dLblPos val="outEnd"/>
          <c:showLegendKey val="0"/>
          <c:showVal val="1"/>
          <c:showCatName val="0"/>
          <c:showSerName val="0"/>
          <c:showPercent val="0"/>
          <c:showBubbleSize val="0"/>
        </c:dLbls>
        <c:gapWidth val="219"/>
        <c:overlap val="-27"/>
        <c:axId val="1896590560"/>
        <c:axId val="1896561280"/>
      </c:barChart>
      <c:catAx>
        <c:axId val="189659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561280"/>
        <c:crosses val="autoZero"/>
        <c:auto val="1"/>
        <c:lblAlgn val="ctr"/>
        <c:lblOffset val="100"/>
        <c:noMultiLvlLbl val="0"/>
      </c:catAx>
      <c:valAx>
        <c:axId val="1896561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tCO2e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_-* #\ ##0_-;\-* #\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590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fr-FR" b="1" u="none"/>
              <a:t>Répartition de l'empreinte totale par poste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0A-467F-ACB6-F94C455459B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EB0A-467F-ACB6-F94C455459B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EB0A-467F-ACB6-F94C455459B7}"/>
              </c:ext>
            </c:extLst>
          </c:dPt>
          <c:dPt>
            <c:idx val="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4-EB0A-467F-ACB6-F94C455459B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5-EB0A-467F-ACB6-F94C455459B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6-EB0A-467F-ACB6-F94C455459B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EB0A-467F-ACB6-F94C455459B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8-EB0A-467F-ACB6-F94C455459B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B-EB0A-467F-ACB6-F94C455459B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A-EB0A-467F-ACB6-F94C455459B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9-EB0A-467F-ACB6-F94C455459B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681-45B9-8398-C2F5A86BF28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DD3-9F4B-80D5-A4923981EE0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DD3-9F4B-80D5-A4923981EE0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DD3-9F4B-80D5-A4923981EE02}"/>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EB0A-467F-ACB6-F94C455459B7}"/>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2-EB0A-467F-ACB6-F94C455459B7}"/>
                </c:ext>
              </c:extLst>
            </c:dLbl>
            <c:dLbl>
              <c:idx val="3"/>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4-EB0A-467F-ACB6-F94C455459B7}"/>
                </c:ext>
              </c:extLst>
            </c:dLbl>
            <c:dLbl>
              <c:idx val="4"/>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5-EB0A-467F-ACB6-F94C455459B7}"/>
                </c:ext>
              </c:extLst>
            </c:dLbl>
            <c:dLbl>
              <c:idx val="6"/>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7-EB0A-467F-ACB6-F94C455459B7}"/>
                </c:ext>
              </c:extLst>
            </c:dLbl>
            <c:dLbl>
              <c:idx val="7"/>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8-EB0A-467F-ACB6-F94C455459B7}"/>
                </c:ext>
              </c:extLst>
            </c:dLbl>
            <c:dLbl>
              <c:idx val="8"/>
              <c:layout>
                <c:manualLayout>
                  <c:x val="-3.380876727444438E-2"/>
                  <c:y val="-0.10284661062381197"/>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EB0A-467F-ACB6-F94C455459B7}"/>
                </c:ext>
              </c:extLst>
            </c:dLbl>
            <c:dLbl>
              <c:idx val="9"/>
              <c:layout>
                <c:manualLayout>
                  <c:x val="-2.3947876819398119E-2"/>
                  <c:y val="-0.109703051332066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A-EB0A-467F-ACB6-F94C455459B7}"/>
                </c:ext>
              </c:extLst>
            </c:dLbl>
            <c:dLbl>
              <c:idx val="10"/>
              <c:layout>
                <c:manualLayout>
                  <c:x val="-1.4086986364351805E-2"/>
                  <c:y val="-0.11655949204032019"/>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75000"/>
                        </a:schemeClr>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B0A-467F-ACB6-F94C455459B7}"/>
                </c:ext>
              </c:extLst>
            </c:dLbl>
            <c:dLbl>
              <c:idx val="12"/>
              <c:layout>
                <c:manualLayout>
                  <c:x val="-1.4086986364352321E-3"/>
                  <c:y val="-0.1234159327485743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9-ADD3-9F4B-80D5-A4923981EE02}"/>
                </c:ext>
              </c:extLst>
            </c:dLbl>
            <c:dLbl>
              <c:idx val="13"/>
              <c:delete val="1"/>
              <c:extLst>
                <c:ext xmlns:c15="http://schemas.microsoft.com/office/drawing/2012/chart" uri="{CE6537A1-D6FC-4f65-9D91-7224C49458BB}"/>
                <c:ext xmlns:c16="http://schemas.microsoft.com/office/drawing/2014/chart" uri="{C3380CC4-5D6E-409C-BE32-E72D297353CC}">
                  <c16:uniqueId val="{0000001B-ADD3-9F4B-80D5-A4923981EE02}"/>
                </c:ext>
              </c:extLst>
            </c:dLbl>
            <c:dLbl>
              <c:idx val="14"/>
              <c:delete val="1"/>
              <c:extLst>
                <c:ext xmlns:c15="http://schemas.microsoft.com/office/drawing/2012/chart" uri="{CE6537A1-D6FC-4f65-9D91-7224C49458BB}"/>
                <c:ext xmlns:c16="http://schemas.microsoft.com/office/drawing/2014/chart" uri="{C3380CC4-5D6E-409C-BE32-E72D297353CC}">
                  <c16:uniqueId val="{0000001D-ADD3-9F4B-80D5-A4923981EE0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Global!$C$4:$C$18</c:f>
              <c:strCache>
                <c:ptCount val="15"/>
                <c:pt idx="0">
                  <c:v>Intrants - Travaux</c:v>
                </c:pt>
                <c:pt idx="1">
                  <c:v>Intrants - Réactifs</c:v>
                </c:pt>
                <c:pt idx="2">
                  <c:v>Intrants - Imports d'eau</c:v>
                </c:pt>
                <c:pt idx="3">
                  <c:v>Intrants - Autres intrants</c:v>
                </c:pt>
                <c:pt idx="4">
                  <c:v>File eau des STEP</c:v>
                </c:pt>
                <c:pt idx="5">
                  <c:v>Emissions indirectes liées au compostage</c:v>
                </c:pt>
                <c:pt idx="6">
                  <c:v>Emissions indirectes liées aux rejets</c:v>
                </c:pt>
                <c:pt idx="7">
                  <c:v>Electricité</c:v>
                </c:pt>
                <c:pt idx="8">
                  <c:v>Immobilisations</c:v>
                </c:pt>
                <c:pt idx="9">
                  <c:v>Digesteur</c:v>
                </c:pt>
                <c:pt idx="10">
                  <c:v>Epandage des boues</c:v>
                </c:pt>
                <c:pt idx="11">
                  <c:v>Déplacements domicile-travail</c:v>
                </c:pt>
                <c:pt idx="12">
                  <c:v>Parc automobile</c:v>
                </c:pt>
                <c:pt idx="13">
                  <c:v>Déchets</c:v>
                </c:pt>
                <c:pt idx="14">
                  <c:v>Fret sortant</c:v>
                </c:pt>
              </c:strCache>
            </c:strRef>
          </c:cat>
          <c:val>
            <c:numRef>
              <c:f>Global!$G$4:$G$18</c:f>
              <c:numCache>
                <c:formatCode>_-* #\ ##0_-;\-* #\ ##0_-;_-* "-"??_-;_-@_-</c:formatCode>
                <c:ptCount val="15"/>
                <c:pt idx="0">
                  <c:v>8871859</c:v>
                </c:pt>
                <c:pt idx="1">
                  <c:v>58379.739959999992</c:v>
                </c:pt>
                <c:pt idx="2">
                  <c:v>2783978.6039999998</c:v>
                </c:pt>
                <c:pt idx="3">
                  <c:v>1596875.8451200002</c:v>
                </c:pt>
                <c:pt idx="4">
                  <c:v>6461.9780309999987</c:v>
                </c:pt>
                <c:pt idx="5">
                  <c:v>5629</c:v>
                </c:pt>
                <c:pt idx="6">
                  <c:v>8789.1875534999999</c:v>
                </c:pt>
                <c:pt idx="7">
                  <c:v>2517407.8779999996</c:v>
                </c:pt>
                <c:pt idx="8">
                  <c:v>375428.91401533334</c:v>
                </c:pt>
                <c:pt idx="9">
                  <c:v>0</c:v>
                </c:pt>
                <c:pt idx="10">
                  <c:v>101187.620352</c:v>
                </c:pt>
                <c:pt idx="11">
                  <c:v>32470.654000000002</c:v>
                </c:pt>
                <c:pt idx="12">
                  <c:v>297088.56933044392</c:v>
                </c:pt>
                <c:pt idx="13">
                  <c:v>1584.674</c:v>
                </c:pt>
                <c:pt idx="14">
                  <c:v>63.842793</c:v>
                </c:pt>
              </c:numCache>
            </c:numRef>
          </c:val>
          <c:extLst>
            <c:ext xmlns:c16="http://schemas.microsoft.com/office/drawing/2014/chart" uri="{C3380CC4-5D6E-409C-BE32-E72D297353CC}">
              <c16:uniqueId val="{00000000-EB0A-467F-ACB6-F94C455459B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100" b="1"/>
              <a:t>Répartition des émissions par Scope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1-3322-4F63-AFCA-15B398B7DB9D}"/>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2-3322-4F63-AFCA-15B398B7DB9D}"/>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4914-48F1-9FA2-B9779CD91784}"/>
              </c:ext>
            </c:extLst>
          </c:dPt>
          <c:dLbls>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3322-4F63-AFCA-15B398B7DB9D}"/>
                </c:ext>
              </c:extLst>
            </c:dLbl>
            <c:dLbl>
              <c:idx val="1"/>
              <c:layout>
                <c:manualLayout>
                  <c:x val="1.4828543506207166E-2"/>
                  <c:y val="1.18168371630532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322-4F63-AFCA-15B398B7DB9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Global!$C$44:$C$46</c:f>
              <c:strCache>
                <c:ptCount val="3"/>
                <c:pt idx="0">
                  <c:v>Scope 1</c:v>
                </c:pt>
                <c:pt idx="1">
                  <c:v>Scope 2</c:v>
                </c:pt>
                <c:pt idx="2">
                  <c:v>Scope 3</c:v>
                </c:pt>
              </c:strCache>
            </c:strRef>
          </c:cat>
          <c:val>
            <c:numRef>
              <c:f>Global!$E$44:$E$46</c:f>
              <c:numCache>
                <c:formatCode>0%</c:formatCode>
                <c:ptCount val="3"/>
                <c:pt idx="0">
                  <c:v>1.7835438795710742E-2</c:v>
                </c:pt>
                <c:pt idx="1">
                  <c:v>0.15113026473249791</c:v>
                </c:pt>
                <c:pt idx="2">
                  <c:v>0.83103429647179139</c:v>
                </c:pt>
              </c:numCache>
            </c:numRef>
          </c:val>
          <c:extLst>
            <c:ext xmlns:c16="http://schemas.microsoft.com/office/drawing/2014/chart" uri="{C3380CC4-5D6E-409C-BE32-E72D297353CC}">
              <c16:uniqueId val="{00000000-3322-4F63-AFCA-15B398B7DB9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fr-FR" b="1"/>
              <a:t>Répartition des émisisons par Lot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2-4B14-46E3-8CD7-6DF1590967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B14-46E3-8CD7-6DF1590967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4B14-46E3-8CD7-6DF159096776}"/>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Global!$D$3:$F$3</c:f>
              <c:strCache>
                <c:ptCount val="3"/>
                <c:pt idx="0">
                  <c:v>CA SUD</c:v>
                </c:pt>
                <c:pt idx="1">
                  <c:v> St-Leu</c:v>
                </c:pt>
                <c:pt idx="2">
                  <c:v>CiNOR</c:v>
                </c:pt>
              </c:strCache>
            </c:strRef>
          </c:cat>
          <c:val>
            <c:numRef>
              <c:f>Global!$D$19:$F$19</c:f>
              <c:numCache>
                <c:formatCode>_-* #.##0_-;\-* #.##0_-;_-* "-"??_-;_-@_-</c:formatCode>
                <c:ptCount val="3"/>
                <c:pt idx="0">
                  <c:v>7851075.3308148729</c:v>
                </c:pt>
                <c:pt idx="1">
                  <c:v>2665562.4596109041</c:v>
                </c:pt>
                <c:pt idx="2">
                  <c:v>6140567.7167294994</c:v>
                </c:pt>
              </c:numCache>
            </c:numRef>
          </c:val>
          <c:extLst>
            <c:ext xmlns:c16="http://schemas.microsoft.com/office/drawing/2014/chart" uri="{C3380CC4-5D6E-409C-BE32-E72D297353CC}">
              <c16:uniqueId val="{00000000-4B14-46E3-8CD7-6DF15909677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100" b="1" i="0" u="none" strike="noStrike" kern="1200" spc="0" baseline="0">
                <a:solidFill>
                  <a:sysClr val="windowText" lastClr="000000">
                    <a:lumMod val="65000"/>
                    <a:lumOff val="35000"/>
                  </a:sysClr>
                </a:solidFill>
                <a:latin typeface="+mn-lt"/>
                <a:ea typeface="+mn-ea"/>
                <a:cs typeface="+mn-cs"/>
              </a:defRPr>
            </a:pPr>
            <a:r>
              <a:rPr lang="fr-FR" sz="1100" b="1" i="0" u="none" strike="noStrike" kern="1200" spc="0" baseline="0">
                <a:solidFill>
                  <a:sysClr val="windowText" lastClr="000000">
                    <a:lumMod val="65000"/>
                    <a:lumOff val="35000"/>
                  </a:sysClr>
                </a:solidFill>
                <a:latin typeface="+mn-lt"/>
                <a:ea typeface="+mn-ea"/>
                <a:cs typeface="+mn-cs"/>
              </a:rPr>
              <a:t>Comparaison de l'impact entre lots - Postes mineurs</a:t>
            </a:r>
          </a:p>
        </c:rich>
      </c:tx>
      <c:overlay val="0"/>
      <c:spPr>
        <a:noFill/>
        <a:ln>
          <a:noFill/>
        </a:ln>
        <a:effectLst/>
      </c:spPr>
      <c:txPr>
        <a:bodyPr rot="0" spcFirstLastPara="1" vertOverflow="ellipsis" vert="horz" wrap="square" anchor="ctr" anchorCtr="1"/>
        <a:lstStyle/>
        <a:p>
          <a:pPr algn="ctr" rtl="0">
            <a:defRPr lang="fr-FR" sz="110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Global!$C$26:$C$37</c:f>
              <c:strCache>
                <c:ptCount val="12"/>
                <c:pt idx="0">
                  <c:v>Intrants - Autres intrants</c:v>
                </c:pt>
                <c:pt idx="1">
                  <c:v>Immobilisations</c:v>
                </c:pt>
                <c:pt idx="2">
                  <c:v>Parc automobile</c:v>
                </c:pt>
                <c:pt idx="3">
                  <c:v>Epandage des boues</c:v>
                </c:pt>
                <c:pt idx="4">
                  <c:v>Intrants - Réactifs</c:v>
                </c:pt>
                <c:pt idx="5">
                  <c:v>Déplacements domicile-travail</c:v>
                </c:pt>
                <c:pt idx="6">
                  <c:v>Emissions indirectes liées aux rejets</c:v>
                </c:pt>
                <c:pt idx="7">
                  <c:v>File eau des STEP</c:v>
                </c:pt>
                <c:pt idx="8">
                  <c:v>Emissions indirectes liées au compostage</c:v>
                </c:pt>
                <c:pt idx="9">
                  <c:v>Déchets</c:v>
                </c:pt>
                <c:pt idx="10">
                  <c:v>Fret sortant</c:v>
                </c:pt>
                <c:pt idx="11">
                  <c:v>Digesteur</c:v>
                </c:pt>
              </c:strCache>
            </c:strRef>
          </c:cat>
          <c:val>
            <c:numRef>
              <c:f>Global!$D$26:$D$37</c:f>
              <c:numCache>
                <c:formatCode>_-* #\ ##0_-;\-* #\ ##0_-;_-* "-"??_-;_-@_-</c:formatCode>
                <c:ptCount val="12"/>
                <c:pt idx="0">
                  <c:v>743065</c:v>
                </c:pt>
                <c:pt idx="1">
                  <c:v>224131.91401533334</c:v>
                </c:pt>
                <c:pt idx="2">
                  <c:v>113559.24319954</c:v>
                </c:pt>
                <c:pt idx="3">
                  <c:v>0</c:v>
                </c:pt>
                <c:pt idx="4">
                  <c:v>16009.6646</c:v>
                </c:pt>
                <c:pt idx="5">
                  <c:v>11302.827000000001</c:v>
                </c:pt>
                <c:pt idx="6">
                  <c:v>0</c:v>
                </c:pt>
                <c:pt idx="7">
                  <c:v>0</c:v>
                </c:pt>
                <c:pt idx="8">
                  <c:v>0</c:v>
                </c:pt>
                <c:pt idx="9">
                  <c:v>0</c:v>
                </c:pt>
                <c:pt idx="10">
                  <c:v>0</c:v>
                </c:pt>
                <c:pt idx="11">
                  <c:v>0</c:v>
                </c:pt>
              </c:numCache>
            </c:numRef>
          </c:val>
          <c:extLst>
            <c:ext xmlns:c16="http://schemas.microsoft.com/office/drawing/2014/chart" uri="{C3380CC4-5D6E-409C-BE32-E72D297353CC}">
              <c16:uniqueId val="{00000000-BF7A-4CB0-98AA-E12C590584D5}"/>
            </c:ext>
          </c:extLst>
        </c:ser>
        <c:ser>
          <c:idx val="1"/>
          <c:order val="1"/>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Global!$C$26:$C$37</c:f>
              <c:strCache>
                <c:ptCount val="12"/>
                <c:pt idx="0">
                  <c:v>Intrants - Autres intrants</c:v>
                </c:pt>
                <c:pt idx="1">
                  <c:v>Immobilisations</c:v>
                </c:pt>
                <c:pt idx="2">
                  <c:v>Parc automobile</c:v>
                </c:pt>
                <c:pt idx="3">
                  <c:v>Epandage des boues</c:v>
                </c:pt>
                <c:pt idx="4">
                  <c:v>Intrants - Réactifs</c:v>
                </c:pt>
                <c:pt idx="5">
                  <c:v>Déplacements domicile-travail</c:v>
                </c:pt>
                <c:pt idx="6">
                  <c:v>Emissions indirectes liées aux rejets</c:v>
                </c:pt>
                <c:pt idx="7">
                  <c:v>File eau des STEP</c:v>
                </c:pt>
                <c:pt idx="8">
                  <c:v>Emissions indirectes liées au compostage</c:v>
                </c:pt>
                <c:pt idx="9">
                  <c:v>Déchets</c:v>
                </c:pt>
                <c:pt idx="10">
                  <c:v>Fret sortant</c:v>
                </c:pt>
                <c:pt idx="11">
                  <c:v>Digesteur</c:v>
                </c:pt>
              </c:strCache>
            </c:strRef>
          </c:cat>
          <c:val>
            <c:numRef>
              <c:f>Global!$E$26:$E$37</c:f>
              <c:numCache>
                <c:formatCode>_-* #\ ##0_-;\-* #\ ##0_-;_-* "-"??_-;_-@_-</c:formatCode>
                <c:ptCount val="12"/>
                <c:pt idx="0">
                  <c:v>203810.84512000004</c:v>
                </c:pt>
                <c:pt idx="1">
                  <c:v>876</c:v>
                </c:pt>
                <c:pt idx="2">
                  <c:v>62965.326130903937</c:v>
                </c:pt>
                <c:pt idx="3">
                  <c:v>0</c:v>
                </c:pt>
                <c:pt idx="4">
                  <c:v>8716.9553599999999</c:v>
                </c:pt>
                <c:pt idx="5">
                  <c:v>11302.827000000001</c:v>
                </c:pt>
                <c:pt idx="6">
                  <c:v>0</c:v>
                </c:pt>
                <c:pt idx="7">
                  <c:v>0</c:v>
                </c:pt>
                <c:pt idx="8">
                  <c:v>0</c:v>
                </c:pt>
                <c:pt idx="9">
                  <c:v>0</c:v>
                </c:pt>
                <c:pt idx="10">
                  <c:v>0</c:v>
                </c:pt>
                <c:pt idx="11">
                  <c:v>0</c:v>
                </c:pt>
              </c:numCache>
            </c:numRef>
          </c:val>
          <c:extLst>
            <c:ext xmlns:c16="http://schemas.microsoft.com/office/drawing/2014/chart" uri="{C3380CC4-5D6E-409C-BE32-E72D297353CC}">
              <c16:uniqueId val="{00000001-BF7A-4CB0-98AA-E12C590584D5}"/>
            </c:ext>
          </c:extLst>
        </c:ser>
        <c: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Global!$C$26:$C$37</c:f>
              <c:strCache>
                <c:ptCount val="12"/>
                <c:pt idx="0">
                  <c:v>Intrants - Autres intrants</c:v>
                </c:pt>
                <c:pt idx="1">
                  <c:v>Immobilisations</c:v>
                </c:pt>
                <c:pt idx="2">
                  <c:v>Parc automobile</c:v>
                </c:pt>
                <c:pt idx="3">
                  <c:v>Epandage des boues</c:v>
                </c:pt>
                <c:pt idx="4">
                  <c:v>Intrants - Réactifs</c:v>
                </c:pt>
                <c:pt idx="5">
                  <c:v>Déplacements domicile-travail</c:v>
                </c:pt>
                <c:pt idx="6">
                  <c:v>Emissions indirectes liées aux rejets</c:v>
                </c:pt>
                <c:pt idx="7">
                  <c:v>File eau des STEP</c:v>
                </c:pt>
                <c:pt idx="8">
                  <c:v>Emissions indirectes liées au compostage</c:v>
                </c:pt>
                <c:pt idx="9">
                  <c:v>Déchets</c:v>
                </c:pt>
                <c:pt idx="10">
                  <c:v>Fret sortant</c:v>
                </c:pt>
                <c:pt idx="11">
                  <c:v>Digesteur</c:v>
                </c:pt>
              </c:strCache>
            </c:strRef>
          </c:cat>
          <c:val>
            <c:numRef>
              <c:f>Global!$F$26:$F$37</c:f>
              <c:numCache>
                <c:formatCode>_-* #\ ##0_-;\-* #\ ##0_-;_-* "-"??_-;_-@_-</c:formatCode>
                <c:ptCount val="12"/>
                <c:pt idx="0">
                  <c:v>650000</c:v>
                </c:pt>
                <c:pt idx="1">
                  <c:v>150421</c:v>
                </c:pt>
                <c:pt idx="2">
                  <c:v>120564</c:v>
                </c:pt>
                <c:pt idx="3">
                  <c:v>101187.620352</c:v>
                </c:pt>
                <c:pt idx="4">
                  <c:v>33653.119999999995</c:v>
                </c:pt>
                <c:pt idx="5">
                  <c:v>9865</c:v>
                </c:pt>
                <c:pt idx="6">
                  <c:v>8789.1875534999999</c:v>
                </c:pt>
                <c:pt idx="7">
                  <c:v>6461.9780309999987</c:v>
                </c:pt>
                <c:pt idx="8">
                  <c:v>5629</c:v>
                </c:pt>
                <c:pt idx="9">
                  <c:v>1584.674</c:v>
                </c:pt>
                <c:pt idx="10">
                  <c:v>63.842793</c:v>
                </c:pt>
                <c:pt idx="11">
                  <c:v>0</c:v>
                </c:pt>
              </c:numCache>
            </c:numRef>
          </c:val>
          <c:extLst>
            <c:ext xmlns:c16="http://schemas.microsoft.com/office/drawing/2014/chart" uri="{C3380CC4-5D6E-409C-BE32-E72D297353CC}">
              <c16:uniqueId val="{00000000-4F43-D744-A9D3-A2DEA08F2B7D}"/>
            </c:ext>
          </c:extLst>
        </c:ser>
        <c:dLbls>
          <c:dLblPos val="outEnd"/>
          <c:showLegendKey val="0"/>
          <c:showVal val="1"/>
          <c:showCatName val="0"/>
          <c:showSerName val="0"/>
          <c:showPercent val="0"/>
          <c:showBubbleSize val="0"/>
        </c:dLbls>
        <c:gapWidth val="219"/>
        <c:overlap val="-27"/>
        <c:axId val="304157647"/>
        <c:axId val="304141807"/>
      </c:barChart>
      <c:catAx>
        <c:axId val="304157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4141807"/>
        <c:crosses val="autoZero"/>
        <c:auto val="1"/>
        <c:lblAlgn val="ctr"/>
        <c:lblOffset val="100"/>
        <c:noMultiLvlLbl val="0"/>
      </c:catAx>
      <c:valAx>
        <c:axId val="304141807"/>
        <c:scaling>
          <c:orientation val="minMax"/>
        </c:scaling>
        <c:delete val="0"/>
        <c:axPos val="l"/>
        <c:majorGridlines>
          <c:spPr>
            <a:ln w="9525" cap="flat" cmpd="sng" algn="ctr">
              <a:solidFill>
                <a:schemeClr val="tx1">
                  <a:lumMod val="15000"/>
                  <a:lumOff val="85000"/>
                </a:schemeClr>
              </a:solidFill>
              <a:round/>
            </a:ln>
            <a:effectLst/>
          </c:spPr>
        </c:majorGridlines>
        <c:numFmt formatCode="_-* #\ ##0_-;\-* #\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04157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 l'empreinte - Poste Achats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41-4EA0-A743-46CD2BAE738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D41-4EA0-A743-46CD2BAE738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D2B6-4F92-B722-8592E23DF92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2-D2B6-4F92-B722-8592E23DF925}"/>
              </c:ext>
            </c:extLst>
          </c:dPt>
          <c:dLbls>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D2B6-4F92-B722-8592E23DF925}"/>
                </c:ext>
              </c:extLst>
            </c:dLbl>
            <c:dLbl>
              <c:idx val="3"/>
              <c:layout>
                <c:manualLayout>
                  <c:x val="-2.7778276498838538E-3"/>
                  <c:y val="-3.8035147177236332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D2B6-4F92-B722-8592E23DF925}"/>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1'!$E$5:$E$8</c:f>
              <c:strCache>
                <c:ptCount val="4"/>
                <c:pt idx="0">
                  <c:v>Intrants - Travaux</c:v>
                </c:pt>
                <c:pt idx="1">
                  <c:v>Intrants - Réactifs</c:v>
                </c:pt>
                <c:pt idx="2">
                  <c:v>Intrants - Imports d'eau</c:v>
                </c:pt>
                <c:pt idx="3">
                  <c:v>Intrants - Autres intrants</c:v>
                </c:pt>
              </c:strCache>
            </c:strRef>
          </c:cat>
          <c:val>
            <c:numRef>
              <c:f>'LOT 1'!$F$5:$F$8</c:f>
              <c:numCache>
                <c:formatCode>_-* #\ ##0.00_-;\-* #\ ##0.00_-;_-* "-"??_-;_-@_-</c:formatCode>
                <c:ptCount val="4"/>
                <c:pt idx="0">
                  <c:v>4232000</c:v>
                </c:pt>
                <c:pt idx="1">
                  <c:v>16009.6646</c:v>
                </c:pt>
                <c:pt idx="2">
                  <c:v>1214640.504</c:v>
                </c:pt>
                <c:pt idx="3">
                  <c:v>743065</c:v>
                </c:pt>
              </c:numCache>
            </c:numRef>
          </c:val>
          <c:extLst>
            <c:ext xmlns:c16="http://schemas.microsoft.com/office/drawing/2014/chart" uri="{C3380CC4-5D6E-409C-BE32-E72D297353CC}">
              <c16:uniqueId val="{00000000-D2B6-4F92-B722-8592E23DF92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l'empreinte - Zoom</a:t>
            </a:r>
            <a:r>
              <a:rPr lang="fr-FR" sz="1100" b="1" baseline="0"/>
              <a:t> sur les travaux - AEP</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53-4C18-8BB2-EBC500ACB04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CFA-40C1-903D-DD5D23719CF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CCFA-40C1-903D-DD5D23719CF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B53-4C18-8BB2-EBC500ACB04D}"/>
              </c:ext>
            </c:extLst>
          </c:dPt>
          <c:dLbls>
            <c:dLbl>
              <c:idx val="0"/>
              <c:layout>
                <c:manualLayout>
                  <c:x val="4.6133026215727417E-3"/>
                  <c:y val="-0.13844516989874969"/>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B53-4C18-8BB2-EBC500ACB04D}"/>
                </c:ext>
              </c:extLst>
            </c:dLbl>
            <c:dLbl>
              <c:idx val="1"/>
              <c:layout>
                <c:manualLayout>
                  <c:x val="4.4444444444444446E-2"/>
                  <c:y val="-9.7222222222222224E-2"/>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r>
                      <a:rPr lang="en-US">
                        <a:solidFill>
                          <a:schemeClr val="accent2"/>
                        </a:solidFill>
                      </a:rPr>
                      <a:t>&lt;1%</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CCFA-40C1-903D-DD5D23719CFF}"/>
                </c:ext>
              </c:extLst>
            </c:dLbl>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CFA-40C1-903D-DD5D23719CFF}"/>
                </c:ext>
              </c:extLst>
            </c:dLbl>
            <c:dLbl>
              <c:idx val="3"/>
              <c:layout>
                <c:manualLayout>
                  <c:x val="-5.76662827696598E-2"/>
                  <c:y val="-0.12961483899662499"/>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r>
                      <a:rPr lang="en-US">
                        <a:solidFill>
                          <a:schemeClr val="accent6"/>
                        </a:solidFill>
                      </a:rPr>
                      <a:t>&lt;1%</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BB53-4C18-8BB2-EBC500ACB04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s>
          <c:cat>
            <c:strRef>
              <c:f>'LOT 1'!$I$5:$I$8</c:f>
              <c:strCache>
                <c:ptCount val="4"/>
                <c:pt idx="0">
                  <c:v>Réparations sur conduite, tout matériaux</c:v>
                </c:pt>
                <c:pt idx="1">
                  <c:v>Réparations sur branchement, tout matériaux</c:v>
                </c:pt>
                <c:pt idx="2">
                  <c:v>Renouvellement</c:v>
                </c:pt>
                <c:pt idx="3">
                  <c:v>Nouveaux branchemens</c:v>
                </c:pt>
              </c:strCache>
            </c:strRef>
          </c:cat>
          <c:val>
            <c:numRef>
              <c:f>'LOT 1'!$J$5:$J$8</c:f>
              <c:numCache>
                <c:formatCode>_-* #\ ##0_-;\-* #\ ##0_-;_-* "-"??_-;_-@_-</c:formatCode>
                <c:ptCount val="4"/>
                <c:pt idx="0">
                  <c:v>576000</c:v>
                </c:pt>
                <c:pt idx="1">
                  <c:v>12390</c:v>
                </c:pt>
                <c:pt idx="2">
                  <c:v>216410</c:v>
                </c:pt>
                <c:pt idx="3">
                  <c:v>3427200</c:v>
                </c:pt>
              </c:numCache>
            </c:numRef>
          </c:val>
          <c:extLst>
            <c:ext xmlns:c16="http://schemas.microsoft.com/office/drawing/2014/chart" uri="{C3380CC4-5D6E-409C-BE32-E72D297353CC}">
              <c16:uniqueId val="{00000000-CCFA-40C1-903D-DD5D23719CF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57642705084635748"/>
          <c:y val="0.19062591134441528"/>
          <c:w val="0.40969618124079454"/>
          <c:h val="0.75763706620005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r>
              <a:rPr lang="fr-FR" sz="1050" b="1" i="0" u="none" strike="noStrike" kern="1200" spc="0" baseline="0">
                <a:solidFill>
                  <a:sysClr val="windowText" lastClr="000000">
                    <a:lumMod val="65000"/>
                    <a:lumOff val="35000"/>
                  </a:sysClr>
                </a:solidFill>
                <a:latin typeface="+mn-lt"/>
                <a:ea typeface="+mn-ea"/>
                <a:cs typeface="+mn-cs"/>
              </a:rPr>
              <a:t>Répartition de l'empreinte - Emissions indirectes</a:t>
            </a:r>
          </a:p>
        </c:rich>
      </c:tx>
      <c:overlay val="0"/>
      <c:spPr>
        <a:noFill/>
        <a:ln>
          <a:noFill/>
        </a:ln>
        <a:effectLst/>
      </c:spPr>
      <c:txPr>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doughnutChart>
        <c:varyColors val="1"/>
        <c:ser>
          <c:idx val="0"/>
          <c:order val="0"/>
          <c:tx>
            <c:v>kgCO2e</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92-4E11-8AA0-B18816BE68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8EB-4A7D-BB1C-2CC3A5B342AF}"/>
              </c:ext>
            </c:extLst>
          </c:dPt>
          <c:dPt>
            <c:idx val="2"/>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4-F854-424F-849B-8E0176EC8455}"/>
              </c:ext>
            </c:extLst>
          </c:dPt>
          <c:dPt>
            <c:idx val="3"/>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5-F854-424F-849B-8E0176EC8455}"/>
              </c:ext>
            </c:extLst>
          </c:dPt>
          <c:dLbls>
            <c:dLbl>
              <c:idx val="0"/>
              <c:layout>
                <c:manualLayout>
                  <c:x val="2.502607156142762E-2"/>
                  <c:y val="-0.121106270201952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92-4E11-8AA0-B18816BE68E0}"/>
                </c:ext>
              </c:extLst>
            </c:dLbl>
            <c:dLbl>
              <c:idx val="1"/>
              <c:layout>
                <c:manualLayout>
                  <c:x val="-1.1094808608743911E-2"/>
                  <c:y val="-6.614614574394545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8EB-4A7D-BB1C-2CC3A5B342AF}"/>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1'!$E$22:$E$25</c:f>
              <c:strCache>
                <c:ptCount val="4"/>
                <c:pt idx="0">
                  <c:v>Rejets dans le milieu - N2O</c:v>
                </c:pt>
                <c:pt idx="1">
                  <c:v>Rejets dans le milieu - CH4</c:v>
                </c:pt>
                <c:pt idx="2">
                  <c:v>Compostage des boues - N2O</c:v>
                </c:pt>
                <c:pt idx="3">
                  <c:v>Compostage des boues - CH4</c:v>
                </c:pt>
              </c:strCache>
            </c:strRef>
          </c:cat>
          <c:val>
            <c:numRef>
              <c:f>'LOT 1'!$F$22:$F$25</c:f>
              <c:numCache>
                <c:formatCode>_-* #\ ##0_-;\-* #\ ##0_-;_-* "-"??_-;_-@_-</c:formatCode>
                <c:ptCount val="4"/>
                <c:pt idx="0">
                  <c:v>0</c:v>
                </c:pt>
                <c:pt idx="1">
                  <c:v>0</c:v>
                </c:pt>
                <c:pt idx="2">
                  <c:v>0</c:v>
                </c:pt>
                <c:pt idx="3">
                  <c:v>0</c:v>
                </c:pt>
              </c:numCache>
            </c:numRef>
          </c:val>
          <c:extLst>
            <c:ext xmlns:c16="http://schemas.microsoft.com/office/drawing/2014/chart" uri="{C3380CC4-5D6E-409C-BE32-E72D297353CC}">
              <c16:uniqueId val="{00000000-48EB-4A7D-BB1C-2CC3A5B342A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r>
              <a:rPr lang="fr-FR" sz="1050" b="1" i="0" u="none" strike="noStrike" kern="1200" spc="0" baseline="0">
                <a:solidFill>
                  <a:sysClr val="windowText" lastClr="000000">
                    <a:lumMod val="65000"/>
                    <a:lumOff val="35000"/>
                  </a:sysClr>
                </a:solidFill>
                <a:latin typeface="+mn-lt"/>
                <a:ea typeface="+mn-ea"/>
                <a:cs typeface="+mn-cs"/>
              </a:rPr>
              <a:t>Répartition du poids rejeté - Emissions indirectes</a:t>
            </a:r>
          </a:p>
        </c:rich>
      </c:tx>
      <c:overlay val="0"/>
      <c:spPr>
        <a:noFill/>
        <a:ln>
          <a:noFill/>
        </a:ln>
        <a:effectLst/>
      </c:spPr>
      <c:txPr>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doughnutChart>
        <c:varyColors val="1"/>
        <c:ser>
          <c:idx val="0"/>
          <c:order val="0"/>
          <c:tx>
            <c:v>kg</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AE-4A77-8955-F3D446AADE3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AE-4A77-8955-F3D446AADE3C}"/>
              </c:ext>
            </c:extLst>
          </c:dPt>
          <c:dPt>
            <c:idx val="2"/>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4-1687-436E-AB36-B87F836BE970}"/>
              </c:ext>
            </c:extLst>
          </c:dPt>
          <c:dPt>
            <c:idx val="3"/>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5-1687-436E-AB36-B87F836BE970}"/>
              </c:ext>
            </c:extLst>
          </c:dPt>
          <c:dLbls>
            <c:dLbl>
              <c:idx val="0"/>
              <c:layout>
                <c:manualLayout>
                  <c:x val="5.568355953865952E-3"/>
                  <c:y val="-0.12465673048189696"/>
                </c:manualLayout>
              </c:layout>
              <c:tx>
                <c:rich>
                  <a:bodyPr/>
                  <a:lstStyle/>
                  <a:p>
                    <a:r>
                      <a:rPr lang="en-US">
                        <a:solidFill>
                          <a:schemeClr val="accent1"/>
                        </a:solidFill>
                      </a:rPr>
                      <a:t>&lt;1%</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EBAE-4A77-8955-F3D446AADE3C}"/>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1'!$E$22:$E$25</c:f>
              <c:strCache>
                <c:ptCount val="4"/>
                <c:pt idx="0">
                  <c:v>Rejets dans le milieu - N2O</c:v>
                </c:pt>
                <c:pt idx="1">
                  <c:v>Rejets dans le milieu - CH4</c:v>
                </c:pt>
                <c:pt idx="2">
                  <c:v>Compostage des boues - N2O</c:v>
                </c:pt>
                <c:pt idx="3">
                  <c:v>Compostage des boues - CH4</c:v>
                </c:pt>
              </c:strCache>
            </c:strRef>
          </c:cat>
          <c:val>
            <c:numRef>
              <c:f>'LOT 1'!$G$22:$G$25</c:f>
              <c:numCache>
                <c:formatCode>_-* #\ ##0.00_-;\-* #\ ##0.00_-;_-* "-"??_-;_-@_-</c:formatCode>
                <c:ptCount val="4"/>
              </c:numCache>
            </c:numRef>
          </c:val>
          <c:extLst>
            <c:ext xmlns:c16="http://schemas.microsoft.com/office/drawing/2014/chart" uri="{C3380CC4-5D6E-409C-BE32-E72D297353CC}">
              <c16:uniqueId val="{00000000-4BD1-4D9D-8BFD-681A4791F51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Réparition</a:t>
            </a:r>
            <a:r>
              <a:rPr lang="fr-FR" sz="1100" b="1" baseline="0"/>
              <a:t> de l'empreinte - File eau</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BF5-4288-888D-9832B0894A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702D-4ADF-B925-B9CAC5711E19}"/>
              </c:ext>
            </c:extLst>
          </c:dPt>
          <c:dLbls>
            <c:dLbl>
              <c:idx val="1"/>
              <c:layout>
                <c:manualLayout>
                  <c:x val="1.1111111111111112E-2"/>
                  <c:y val="-0.12037037037037039"/>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02D-4ADF-B925-B9CAC5711E19}"/>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1'!$E$15:$E$16</c:f>
              <c:strCache>
                <c:ptCount val="2"/>
                <c:pt idx="0">
                  <c:v>Quantité de N20</c:v>
                </c:pt>
                <c:pt idx="1">
                  <c:v>Quantité de CH4</c:v>
                </c:pt>
              </c:strCache>
            </c:strRef>
          </c:cat>
          <c:val>
            <c:numRef>
              <c:f>'LOT 1'!$F$15:$F$16</c:f>
              <c:numCache>
                <c:formatCode>_-* #\ ##0.00_-;\-* #\ ##0.00_-;_-* "-"??_-;_-@_-</c:formatCode>
                <c:ptCount val="2"/>
              </c:numCache>
            </c:numRef>
          </c:val>
          <c:extLst>
            <c:ext xmlns:c16="http://schemas.microsoft.com/office/drawing/2014/chart" uri="{C3380CC4-5D6E-409C-BE32-E72D297353CC}">
              <c16:uniqueId val="{00000000-702D-4ADF-B925-B9CAC5711E1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fr-FR" sz="1100" b="1" i="0" u="none" strike="noStrike" kern="1200" spc="0" baseline="0">
                <a:solidFill>
                  <a:sysClr val="windowText" lastClr="000000">
                    <a:lumMod val="65000"/>
                    <a:lumOff val="35000"/>
                  </a:sysClr>
                </a:solidFill>
              </a:rPr>
              <a:t>Réparition de l'empreinte - File eau</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EF1-4DBE-8D0B-AAB9E6B9ED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EF1-4DBE-8D0B-AAB9E6B9ED0C}"/>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1'!$E$15:$E$16</c:f>
              <c:strCache>
                <c:ptCount val="2"/>
                <c:pt idx="0">
                  <c:v>Quantité de N20</c:v>
                </c:pt>
                <c:pt idx="1">
                  <c:v>Quantité de CH4</c:v>
                </c:pt>
              </c:strCache>
            </c:strRef>
          </c:cat>
          <c:val>
            <c:numRef>
              <c:f>'LOT 1'!$G$15:$G$16</c:f>
              <c:numCache>
                <c:formatCode>_-* #\ ##0.00_-;\-* #\ ##0.00_-;_-* "-"??_-;_-@_-</c:formatCode>
                <c:ptCount val="2"/>
                <c:pt idx="0">
                  <c:v>0</c:v>
                </c:pt>
                <c:pt idx="1">
                  <c:v>0</c:v>
                </c:pt>
              </c:numCache>
            </c:numRef>
          </c:val>
          <c:extLst>
            <c:ext xmlns:c16="http://schemas.microsoft.com/office/drawing/2014/chart" uri="{C3380CC4-5D6E-409C-BE32-E72D297353CC}">
              <c16:uniqueId val="{00000000-8634-4A6E-93FD-BCEAA3D3BEB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la</a:t>
            </a:r>
            <a:r>
              <a:rPr lang="fr-FR" sz="1100" b="1" baseline="0"/>
              <a:t> consommation d'électricité</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64-4394-A09C-206A375C327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64-4394-A09C-206A375C327C}"/>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1'!$E$31:$E$32</c:f>
              <c:strCache>
                <c:ptCount val="2"/>
                <c:pt idx="0">
                  <c:v>Consommation AEP</c:v>
                </c:pt>
                <c:pt idx="1">
                  <c:v>Consommation EU</c:v>
                </c:pt>
              </c:strCache>
            </c:strRef>
          </c:cat>
          <c:val>
            <c:numRef>
              <c:f>'LOT 1'!$F$31:$F$32</c:f>
              <c:numCache>
                <c:formatCode>_-* #\ ##0_-;\-* #\ ##0_-;_-* "-"??_-;_-@_-</c:formatCode>
                <c:ptCount val="2"/>
                <c:pt idx="0">
                  <c:v>1296366.1779999998</c:v>
                </c:pt>
                <c:pt idx="1">
                  <c:v>0</c:v>
                </c:pt>
              </c:numCache>
            </c:numRef>
          </c:val>
          <c:extLst>
            <c:ext xmlns:c16="http://schemas.microsoft.com/office/drawing/2014/chart" uri="{C3380CC4-5D6E-409C-BE32-E72D297353CC}">
              <c16:uniqueId val="{00000000-2F58-4007-B5D9-EF303C9CE49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Détail des émissions liées à l'électricité</a:t>
            </a:r>
            <a:r>
              <a:rPr lang="fr-FR" sz="1100" b="1" baseline="0"/>
              <a:t> consommée</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3045655427848205"/>
          <c:y val="0.23900444736074658"/>
          <c:w val="0.32384254470049123"/>
          <c:h val="0.65162073490813643"/>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229-436F-A421-281FBD75A4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229-436F-A421-281FBD75A41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18EF-4122-8A18-6E0E01283698}"/>
              </c:ext>
            </c:extLst>
          </c:dPt>
          <c:dLbls>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18EF-4122-8A18-6E0E01283698}"/>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1'!$E$33:$E$35</c:f>
              <c:strCache>
                <c:ptCount val="3"/>
                <c:pt idx="0">
                  <c:v>Amont - Infrastructures</c:v>
                </c:pt>
                <c:pt idx="1">
                  <c:v>Production de l'électricité - Scope 2</c:v>
                </c:pt>
                <c:pt idx="2">
                  <c:v>Pertes</c:v>
                </c:pt>
              </c:strCache>
            </c:strRef>
          </c:cat>
          <c:val>
            <c:numRef>
              <c:f>'LOT 1'!$F$33:$F$35</c:f>
              <c:numCache>
                <c:formatCode>0%</c:formatCode>
                <c:ptCount val="3"/>
                <c:pt idx="0">
                  <c:v>0.23</c:v>
                </c:pt>
                <c:pt idx="1">
                  <c:v>0.69</c:v>
                </c:pt>
                <c:pt idx="2">
                  <c:v>0.09</c:v>
                </c:pt>
              </c:numCache>
            </c:numRef>
          </c:val>
          <c:extLst>
            <c:ext xmlns:c16="http://schemas.microsoft.com/office/drawing/2014/chart" uri="{C3380CC4-5D6E-409C-BE32-E72D297353CC}">
              <c16:uniqueId val="{00000000-18EF-4122-8A18-6E0E0128369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58015398556960485"/>
          <c:y val="0.34215332458442693"/>
          <c:w val="0.40604101136684384"/>
          <c:h val="0.454582239720034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des émissions par Scope</a:t>
            </a:r>
            <a:endParaRPr lang="fr-FR" sz="11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1-F839-4CAE-BFD4-BA2F0F63E174}"/>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F839-4CAE-BFD4-BA2F0F63E174}"/>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F839-4CAE-BFD4-BA2F0F63E174}"/>
              </c:ext>
            </c:extLst>
          </c:dPt>
          <c:dLbls>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F839-4CAE-BFD4-BA2F0F63E174}"/>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1'!$B$5:$B$7</c:f>
              <c:strCache>
                <c:ptCount val="3"/>
                <c:pt idx="0">
                  <c:v>Scope 1</c:v>
                </c:pt>
                <c:pt idx="1">
                  <c:v>Scope 2</c:v>
                </c:pt>
                <c:pt idx="2">
                  <c:v>Scope 3</c:v>
                </c:pt>
              </c:strCache>
            </c:strRef>
          </c:cat>
          <c:val>
            <c:numRef>
              <c:f>'LOT 1'!$C$5:$C$7</c:f>
              <c:numCache>
                <c:formatCode>_-* #\ ##0.00_-;\-* #\ ##0.00_-;_-* "-"??_-;_-@_-</c:formatCode>
                <c:ptCount val="3"/>
                <c:pt idx="0">
                  <c:v>113559.24319954</c:v>
                </c:pt>
                <c:pt idx="1">
                  <c:v>1296366.1779999998</c:v>
                </c:pt>
                <c:pt idx="2">
                  <c:v>6441149.9096153323</c:v>
                </c:pt>
              </c:numCache>
            </c:numRef>
          </c:val>
          <c:extLst>
            <c:ext xmlns:c16="http://schemas.microsoft.com/office/drawing/2014/chart" uri="{C3380CC4-5D6E-409C-BE32-E72D297353CC}">
              <c16:uniqueId val="{00000006-F839-4CAE-BFD4-BA2F0F63E17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l'empreinte - Zoom</a:t>
            </a:r>
            <a:r>
              <a:rPr lang="fr-FR" sz="1100" b="1" baseline="0"/>
              <a:t> sur les travaux - EU</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3A3-0247-BBD4-DD11C2BAF7D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3A3-0247-BBD4-DD11C2BAF7D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3A3-0247-BBD4-DD11C2BAF7D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3A3-0247-BBD4-DD11C2BAF7D3}"/>
              </c:ext>
            </c:extLst>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0"/>
            <c:extLst>
              <c:ext xmlns:c15="http://schemas.microsoft.com/office/drawing/2012/chart" uri="{CE6537A1-D6FC-4f65-9D91-7224C49458BB}"/>
            </c:extLst>
          </c:dLbls>
          <c:cat>
            <c:strRef>
              <c:f>'LOT 1'!$I$13:$I$17</c:f>
              <c:strCache>
                <c:ptCount val="5"/>
                <c:pt idx="0">
                  <c:v>Hydrocurage préventif</c:v>
                </c:pt>
                <c:pt idx="1">
                  <c:v>Hydrocurage curatif</c:v>
                </c:pt>
                <c:pt idx="2">
                  <c:v>Branchements neufs</c:v>
                </c:pt>
                <c:pt idx="3">
                  <c:v>Renouvellement</c:v>
                </c:pt>
                <c:pt idx="4">
                  <c:v>Émissions liées à des opérations de désobstruction</c:v>
                </c:pt>
              </c:strCache>
            </c:strRef>
          </c:cat>
          <c:val>
            <c:numRef>
              <c:f>'LOT 1'!$J$13:$J$17</c:f>
              <c:numCache>
                <c:formatCode>_-* #\ ##0_-;\-* #\ ##0_-;_-* "-"??_-;_-@_-</c:formatCode>
                <c:ptCount val="5"/>
                <c:pt idx="0">
                  <c:v>0</c:v>
                </c:pt>
                <c:pt idx="1">
                  <c:v>0</c:v>
                </c:pt>
                <c:pt idx="2">
                  <c:v>0</c:v>
                </c:pt>
                <c:pt idx="3">
                  <c:v>0</c:v>
                </c:pt>
                <c:pt idx="4">
                  <c:v>0</c:v>
                </c:pt>
              </c:numCache>
            </c:numRef>
          </c:val>
          <c:extLst>
            <c:ext xmlns:c16="http://schemas.microsoft.com/office/drawing/2014/chart" uri="{C3380CC4-5D6E-409C-BE32-E72D297353CC}">
              <c16:uniqueId val="{00000008-73A3-0247-BBD4-DD11C2BAF7D3}"/>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layout>
        <c:manualLayout>
          <c:xMode val="edge"/>
          <c:yMode val="edge"/>
          <c:x val="0.57642705084635748"/>
          <c:y val="0.19062591134441528"/>
          <c:w val="0.40969618124079454"/>
          <c:h val="0.75763706620005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 l'empreinte - Poste Achats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28E-C342-8C27-CED9111B24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28E-C342-8C27-CED9111B240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28E-C342-8C27-CED9111B240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28E-C342-8C27-CED9111B240C}"/>
              </c:ext>
            </c:extLst>
          </c:dPt>
          <c:dLbls>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5-928E-C342-8C27-CED9111B240C}"/>
                </c:ext>
              </c:extLst>
            </c:dLbl>
            <c:dLbl>
              <c:idx val="3"/>
              <c:layout>
                <c:manualLayout>
                  <c:x val="-2.7778276498838538E-3"/>
                  <c:y val="-3.8035147177236332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28E-C342-8C27-CED9111B240C}"/>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2'!$E$5:$E$8</c:f>
              <c:strCache>
                <c:ptCount val="4"/>
                <c:pt idx="0">
                  <c:v>Intrants - Travaux</c:v>
                </c:pt>
                <c:pt idx="1">
                  <c:v>Intrants - Réactifs</c:v>
                </c:pt>
                <c:pt idx="2">
                  <c:v>Intrants - Imports d'eau</c:v>
                </c:pt>
                <c:pt idx="3">
                  <c:v>Intrants - Autres intrants</c:v>
                </c:pt>
              </c:strCache>
            </c:strRef>
          </c:cat>
          <c:val>
            <c:numRef>
              <c:f>'LOT 2'!$F$5:$F$8</c:f>
              <c:numCache>
                <c:formatCode>_-* #\ ##0.00_-;\-* #\ ##0.00_-;_-* "-"??_-;_-@_-</c:formatCode>
                <c:ptCount val="4"/>
                <c:pt idx="0">
                  <c:v>1497468</c:v>
                </c:pt>
                <c:pt idx="1">
                  <c:v>8716.9553599999999</c:v>
                </c:pt>
                <c:pt idx="2">
                  <c:v>569339.1</c:v>
                </c:pt>
                <c:pt idx="3">
                  <c:v>203810.84512000004</c:v>
                </c:pt>
              </c:numCache>
            </c:numRef>
          </c:val>
          <c:extLst>
            <c:ext xmlns:c16="http://schemas.microsoft.com/office/drawing/2014/chart" uri="{C3380CC4-5D6E-409C-BE32-E72D297353CC}">
              <c16:uniqueId val="{00000008-928E-C342-8C27-CED9111B240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l'empreinte - Zoom</a:t>
            </a:r>
            <a:r>
              <a:rPr lang="fr-FR" sz="1100" b="1" baseline="0"/>
              <a:t> sur les travaux (RAD)</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BC2-E541-BEB1-2B95DDA0C5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BC2-E541-BEB1-2B95DDA0C51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BC2-E541-BEB1-2B95DDA0C51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BC2-E541-BEB1-2B95DDA0C51B}"/>
              </c:ext>
            </c:extLst>
          </c:dPt>
          <c:dLbls>
            <c:dLbl>
              <c:idx val="0"/>
              <c:layout>
                <c:manualLayout>
                  <c:x val="4.6133026215727417E-3"/>
                  <c:y val="-0.13844516989874969"/>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BC2-E541-BEB1-2B95DDA0C51B}"/>
                </c:ext>
              </c:extLst>
            </c:dLbl>
            <c:dLbl>
              <c:idx val="1"/>
              <c:layout>
                <c:manualLayout>
                  <c:x val="4.4444444444444446E-2"/>
                  <c:y val="-9.7222222222222224E-2"/>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r>
                      <a:rPr lang="en-US">
                        <a:solidFill>
                          <a:schemeClr val="accent2"/>
                        </a:solidFill>
                      </a:rPr>
                      <a:t>&lt;1%</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CBC2-E541-BEB1-2B95DDA0C51B}"/>
                </c:ext>
              </c:extLst>
            </c:dLbl>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5-CBC2-E541-BEB1-2B95DDA0C51B}"/>
                </c:ext>
              </c:extLst>
            </c:dLbl>
            <c:dLbl>
              <c:idx val="3"/>
              <c:layout>
                <c:manualLayout>
                  <c:x val="-5.76662827696598E-2"/>
                  <c:y val="-0.12961483899662499"/>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r>
                      <a:rPr lang="en-US">
                        <a:solidFill>
                          <a:schemeClr val="accent6"/>
                        </a:solidFill>
                      </a:rPr>
                      <a:t>&lt;1%</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CBC2-E541-BEB1-2B95DDA0C51B}"/>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2'!$I$5:$I$8</c:f>
              <c:strCache>
                <c:ptCount val="4"/>
                <c:pt idx="0">
                  <c:v>Réparations sur conduite, tout matériaux</c:v>
                </c:pt>
                <c:pt idx="1">
                  <c:v>Réparations sur branchement, tout matériaux</c:v>
                </c:pt>
                <c:pt idx="2">
                  <c:v>Renouvellement</c:v>
                </c:pt>
                <c:pt idx="3">
                  <c:v>Nouveaux branchemens</c:v>
                </c:pt>
              </c:strCache>
            </c:strRef>
          </c:cat>
          <c:val>
            <c:numRef>
              <c:f>'LOT 2'!$J$5:$J$8</c:f>
              <c:numCache>
                <c:formatCode>_-* #\ ##0_-;\-* #\ ##0_-;_-* "-"??_-;_-@_-</c:formatCode>
                <c:ptCount val="4"/>
                <c:pt idx="0">
                  <c:v>176400</c:v>
                </c:pt>
                <c:pt idx="1">
                  <c:v>7308</c:v>
                </c:pt>
                <c:pt idx="2">
                  <c:v>0</c:v>
                </c:pt>
                <c:pt idx="3">
                  <c:v>1313760</c:v>
                </c:pt>
              </c:numCache>
            </c:numRef>
          </c:val>
          <c:extLst>
            <c:ext xmlns:c16="http://schemas.microsoft.com/office/drawing/2014/chart" uri="{C3380CC4-5D6E-409C-BE32-E72D297353CC}">
              <c16:uniqueId val="{00000008-CBC2-E541-BEB1-2B95DDA0C51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57642705084635748"/>
          <c:y val="0.19062591134441528"/>
          <c:w val="0.40969618124079454"/>
          <c:h val="0.75763706620005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r>
              <a:rPr lang="fr-FR" sz="1050" b="1" i="0" u="none" strike="noStrike" kern="1200" spc="0" baseline="0">
                <a:solidFill>
                  <a:sysClr val="windowText" lastClr="000000">
                    <a:lumMod val="65000"/>
                    <a:lumOff val="35000"/>
                  </a:sysClr>
                </a:solidFill>
                <a:latin typeface="+mn-lt"/>
                <a:ea typeface="+mn-ea"/>
                <a:cs typeface="+mn-cs"/>
              </a:rPr>
              <a:t>Répartition de l'empreinte - Emissions indirectes</a:t>
            </a:r>
          </a:p>
        </c:rich>
      </c:tx>
      <c:overlay val="0"/>
      <c:spPr>
        <a:noFill/>
        <a:ln>
          <a:noFill/>
        </a:ln>
        <a:effectLst/>
      </c:spPr>
      <c:txPr>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doughnutChart>
        <c:varyColors val="1"/>
        <c:ser>
          <c:idx val="0"/>
          <c:order val="0"/>
          <c:tx>
            <c:v>kgCO2e</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EA8-0E43-BB77-B4C6B160E27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EA8-0E43-BB77-B4C6B160E277}"/>
              </c:ext>
            </c:extLst>
          </c:dPt>
          <c:dPt>
            <c:idx val="2"/>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5-8EA8-0E43-BB77-B4C6B160E277}"/>
              </c:ext>
            </c:extLst>
          </c:dPt>
          <c:dPt>
            <c:idx val="3"/>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7-8EA8-0E43-BB77-B4C6B160E277}"/>
              </c:ext>
            </c:extLst>
          </c:dPt>
          <c:dLbls>
            <c:dLbl>
              <c:idx val="0"/>
              <c:layout>
                <c:manualLayout>
                  <c:x val="2.502607156142762E-2"/>
                  <c:y val="-0.121106270201952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A8-0E43-BB77-B4C6B160E277}"/>
                </c:ext>
              </c:extLst>
            </c:dLbl>
            <c:dLbl>
              <c:idx val="1"/>
              <c:layout>
                <c:manualLayout>
                  <c:x val="-1.1094808608743911E-2"/>
                  <c:y val="-6.614614574394545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A8-0E43-BB77-B4C6B160E277}"/>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2'!$E$22:$E$25</c:f>
              <c:strCache>
                <c:ptCount val="4"/>
                <c:pt idx="0">
                  <c:v>Rejets dans le milieu - N2O</c:v>
                </c:pt>
                <c:pt idx="1">
                  <c:v>Rejets dans le milieu - CH4</c:v>
                </c:pt>
                <c:pt idx="2">
                  <c:v>Compostage des boues - N2O</c:v>
                </c:pt>
                <c:pt idx="3">
                  <c:v>Compostage des boues - CH4</c:v>
                </c:pt>
              </c:strCache>
            </c:strRef>
          </c:cat>
          <c:val>
            <c:numRef>
              <c:f>'LOT 2'!$F$22:$F$25</c:f>
              <c:numCache>
                <c:formatCode>_-* #\ ##0_-;\-* #\ ##0_-;_-* "-"??_-;_-@_-</c:formatCode>
                <c:ptCount val="4"/>
                <c:pt idx="0">
                  <c:v>0</c:v>
                </c:pt>
                <c:pt idx="1">
                  <c:v>0</c:v>
                </c:pt>
                <c:pt idx="2">
                  <c:v>0</c:v>
                </c:pt>
                <c:pt idx="3">
                  <c:v>0</c:v>
                </c:pt>
              </c:numCache>
            </c:numRef>
          </c:val>
          <c:extLst>
            <c:ext xmlns:c16="http://schemas.microsoft.com/office/drawing/2014/chart" uri="{C3380CC4-5D6E-409C-BE32-E72D297353CC}">
              <c16:uniqueId val="{00000008-8EA8-0E43-BB77-B4C6B160E27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r>
              <a:rPr lang="fr-FR" sz="1050" b="1" i="0" u="none" strike="noStrike" kern="1200" spc="0" baseline="0">
                <a:solidFill>
                  <a:sysClr val="windowText" lastClr="000000">
                    <a:lumMod val="65000"/>
                    <a:lumOff val="35000"/>
                  </a:sysClr>
                </a:solidFill>
                <a:latin typeface="+mn-lt"/>
                <a:ea typeface="+mn-ea"/>
                <a:cs typeface="+mn-cs"/>
              </a:rPr>
              <a:t>Répartition du poids rejeté - Emissions indirectes</a:t>
            </a:r>
          </a:p>
        </c:rich>
      </c:tx>
      <c:overlay val="0"/>
      <c:spPr>
        <a:noFill/>
        <a:ln>
          <a:noFill/>
        </a:ln>
        <a:effectLst/>
      </c:spPr>
      <c:txPr>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doughnutChart>
        <c:varyColors val="1"/>
        <c:ser>
          <c:idx val="0"/>
          <c:order val="0"/>
          <c:tx>
            <c:v>kg</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F2-6347-92E2-EE7AE8261C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FF2-6347-92E2-EE7AE8261C7E}"/>
              </c:ext>
            </c:extLst>
          </c:dPt>
          <c:dPt>
            <c:idx val="2"/>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5-DFF2-6347-92E2-EE7AE8261C7E}"/>
              </c:ext>
            </c:extLst>
          </c:dPt>
          <c:dPt>
            <c:idx val="3"/>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7-DFF2-6347-92E2-EE7AE8261C7E}"/>
              </c:ext>
            </c:extLst>
          </c:dPt>
          <c:dLbls>
            <c:dLbl>
              <c:idx val="0"/>
              <c:layout>
                <c:manualLayout>
                  <c:x val="5.568355953865952E-3"/>
                  <c:y val="-0.12465673048189696"/>
                </c:manualLayout>
              </c:layout>
              <c:tx>
                <c:rich>
                  <a:bodyPr/>
                  <a:lstStyle/>
                  <a:p>
                    <a:r>
                      <a:rPr lang="en-US">
                        <a:solidFill>
                          <a:schemeClr val="accent1"/>
                        </a:solidFill>
                      </a:rPr>
                      <a:t>&lt;1%</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DFF2-6347-92E2-EE7AE8261C7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2'!$E$22:$E$25</c:f>
              <c:strCache>
                <c:ptCount val="4"/>
                <c:pt idx="0">
                  <c:v>Rejets dans le milieu - N2O</c:v>
                </c:pt>
                <c:pt idx="1">
                  <c:v>Rejets dans le milieu - CH4</c:v>
                </c:pt>
                <c:pt idx="2">
                  <c:v>Compostage des boues - N2O</c:v>
                </c:pt>
                <c:pt idx="3">
                  <c:v>Compostage des boues - CH4</c:v>
                </c:pt>
              </c:strCache>
            </c:strRef>
          </c:cat>
          <c:val>
            <c:numRef>
              <c:f>'LOT 2'!$G$22:$G$25</c:f>
              <c:numCache>
                <c:formatCode>_-* #\ ##0.00_-;\-* #\ ##0.00_-;_-* "-"??_-;_-@_-</c:formatCode>
                <c:ptCount val="4"/>
              </c:numCache>
            </c:numRef>
          </c:val>
          <c:extLst>
            <c:ext xmlns:c16="http://schemas.microsoft.com/office/drawing/2014/chart" uri="{C3380CC4-5D6E-409C-BE32-E72D297353CC}">
              <c16:uniqueId val="{00000008-DFF2-6347-92E2-EE7AE8261C7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Réparition</a:t>
            </a:r>
            <a:r>
              <a:rPr lang="fr-FR" sz="1100" b="1" baseline="0"/>
              <a:t> de l'empreinte - File eau</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53-4941-908A-98590A862A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53-4941-908A-98590A862AA6}"/>
              </c:ext>
            </c:extLst>
          </c:dPt>
          <c:dLbls>
            <c:dLbl>
              <c:idx val="1"/>
              <c:layout>
                <c:manualLayout>
                  <c:x val="1.1111111111111112E-2"/>
                  <c:y val="-0.12037037037037039"/>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153-4941-908A-98590A862AA6}"/>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2'!$E$15:$E$16</c:f>
              <c:strCache>
                <c:ptCount val="2"/>
                <c:pt idx="0">
                  <c:v>Quantité de N20</c:v>
                </c:pt>
                <c:pt idx="1">
                  <c:v>Quantité de CH4</c:v>
                </c:pt>
              </c:strCache>
            </c:strRef>
          </c:cat>
          <c:val>
            <c:numRef>
              <c:f>'LOT 2'!$F$15:$F$16</c:f>
              <c:numCache>
                <c:formatCode>_-* #\ ##0.00_-;\-* #\ ##0.00_-;_-* "-"??_-;_-@_-</c:formatCode>
                <c:ptCount val="2"/>
              </c:numCache>
            </c:numRef>
          </c:val>
          <c:extLst>
            <c:ext xmlns:c16="http://schemas.microsoft.com/office/drawing/2014/chart" uri="{C3380CC4-5D6E-409C-BE32-E72D297353CC}">
              <c16:uniqueId val="{00000004-0153-4941-908A-98590A862AA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fr-FR" sz="1100" b="1" i="0" u="none" strike="noStrike" kern="1200" spc="0" baseline="0">
                <a:solidFill>
                  <a:sysClr val="windowText" lastClr="000000">
                    <a:lumMod val="65000"/>
                    <a:lumOff val="35000"/>
                  </a:sysClr>
                </a:solidFill>
              </a:rPr>
              <a:t>Réparition de l'empreinte - File eau</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E78-6541-B02E-6CA3801CFB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E78-6541-B02E-6CA3801CFB2D}"/>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2'!$E$15:$E$16</c:f>
              <c:strCache>
                <c:ptCount val="2"/>
                <c:pt idx="0">
                  <c:v>Quantité de N20</c:v>
                </c:pt>
                <c:pt idx="1">
                  <c:v>Quantité de CH4</c:v>
                </c:pt>
              </c:strCache>
            </c:strRef>
          </c:cat>
          <c:val>
            <c:numRef>
              <c:f>'LOT 2'!$G$15:$G$16</c:f>
              <c:numCache>
                <c:formatCode>_-* #\ ##0.00_-;\-* #\ ##0.00_-;_-* "-"??_-;_-@_-</c:formatCode>
                <c:ptCount val="2"/>
                <c:pt idx="0">
                  <c:v>0</c:v>
                </c:pt>
                <c:pt idx="1">
                  <c:v>0</c:v>
                </c:pt>
              </c:numCache>
            </c:numRef>
          </c:val>
          <c:extLst>
            <c:ext xmlns:c16="http://schemas.microsoft.com/office/drawing/2014/chart" uri="{C3380CC4-5D6E-409C-BE32-E72D297353CC}">
              <c16:uniqueId val="{00000004-7E78-6541-B02E-6CA3801CFB2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la</a:t>
            </a:r>
            <a:r>
              <a:rPr lang="fr-FR" sz="1100" b="1" baseline="0"/>
              <a:t> consommation d'électricité</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22A-3B43-9C4D-80F8E9328E9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22A-3B43-9C4D-80F8E9328E9C}"/>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2'!$E$31:$E$32</c:f>
              <c:strCache>
                <c:ptCount val="2"/>
                <c:pt idx="0">
                  <c:v>Consommation AEP</c:v>
                </c:pt>
                <c:pt idx="1">
                  <c:v>Consommation EU</c:v>
                </c:pt>
              </c:strCache>
            </c:strRef>
          </c:cat>
          <c:val>
            <c:numRef>
              <c:f>'LOT 2'!$F$31:$F$32</c:f>
              <c:numCache>
                <c:formatCode>_-* #\ ##0_-;\-* #\ ##0_-;_-* "-"??_-;_-@_-</c:formatCode>
                <c:ptCount val="2"/>
                <c:pt idx="0">
                  <c:v>311083.40599999996</c:v>
                </c:pt>
                <c:pt idx="1">
                  <c:v>0</c:v>
                </c:pt>
              </c:numCache>
            </c:numRef>
          </c:val>
          <c:extLst>
            <c:ext xmlns:c16="http://schemas.microsoft.com/office/drawing/2014/chart" uri="{C3380CC4-5D6E-409C-BE32-E72D297353CC}">
              <c16:uniqueId val="{00000004-D22A-3B43-9C4D-80F8E9328E9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Détail des émissions liées à l'électricité</a:t>
            </a:r>
            <a:r>
              <a:rPr lang="fr-FR" sz="1100" b="1" baseline="0"/>
              <a:t> consommée</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3045655427848205"/>
          <c:y val="0.23900444736074658"/>
          <c:w val="0.32384254470049123"/>
          <c:h val="0.65162073490813643"/>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77-CC43-A7AF-80147710AE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77-CC43-A7AF-80147710AE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77-CC43-A7AF-80147710AE99}"/>
              </c:ext>
            </c:extLst>
          </c:dPt>
          <c:dLbls>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5-2C77-CC43-A7AF-80147710AE99}"/>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2'!$E$33:$E$35</c:f>
              <c:strCache>
                <c:ptCount val="3"/>
                <c:pt idx="0">
                  <c:v>Amont - Infrastructures</c:v>
                </c:pt>
                <c:pt idx="1">
                  <c:v>Production de l'électricité - Scope 2</c:v>
                </c:pt>
                <c:pt idx="2">
                  <c:v>Pertes</c:v>
                </c:pt>
              </c:strCache>
            </c:strRef>
          </c:cat>
          <c:val>
            <c:numRef>
              <c:f>'LOT 2'!$F$33:$F$35</c:f>
              <c:numCache>
                <c:formatCode>0%</c:formatCode>
                <c:ptCount val="3"/>
                <c:pt idx="0">
                  <c:v>0.23</c:v>
                </c:pt>
                <c:pt idx="1">
                  <c:v>0.69</c:v>
                </c:pt>
                <c:pt idx="2">
                  <c:v>0.09</c:v>
                </c:pt>
              </c:numCache>
            </c:numRef>
          </c:val>
          <c:extLst>
            <c:ext xmlns:c16="http://schemas.microsoft.com/office/drawing/2014/chart" uri="{C3380CC4-5D6E-409C-BE32-E72D297353CC}">
              <c16:uniqueId val="{00000006-2C77-CC43-A7AF-80147710AE9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58015398556960485"/>
          <c:y val="0.34215332458442693"/>
          <c:w val="0.40604101136684384"/>
          <c:h val="0.454582239720034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des émissions par Scope</a:t>
            </a:r>
            <a:endParaRPr lang="fr-FR" sz="11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1-B0EA-A445-9BE5-2B04D264414B}"/>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B0EA-A445-9BE5-2B04D264414B}"/>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B0EA-A445-9BE5-2B04D264414B}"/>
              </c:ext>
            </c:extLst>
          </c:dPt>
          <c:dLbls>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B0EA-A445-9BE5-2B04D264414B}"/>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2'!$B$5:$B$7</c:f>
              <c:strCache>
                <c:ptCount val="3"/>
                <c:pt idx="0">
                  <c:v>Scope 1</c:v>
                </c:pt>
                <c:pt idx="1">
                  <c:v>Scope 2</c:v>
                </c:pt>
                <c:pt idx="2">
                  <c:v>Scope 3</c:v>
                </c:pt>
              </c:strCache>
            </c:strRef>
          </c:cat>
          <c:val>
            <c:numRef>
              <c:f>'LOT 2'!$C$5:$C$7</c:f>
              <c:numCache>
                <c:formatCode>_-* #\ ##0.00_-;\-* #\ ##0.00_-;_-* "-"??_-;_-@_-</c:formatCode>
                <c:ptCount val="3"/>
                <c:pt idx="0">
                  <c:v>62965.326130903937</c:v>
                </c:pt>
                <c:pt idx="1">
                  <c:v>311083.40599999996</c:v>
                </c:pt>
                <c:pt idx="2">
                  <c:v>2291513.7274800004</c:v>
                </c:pt>
              </c:numCache>
            </c:numRef>
          </c:val>
          <c:extLst>
            <c:ext xmlns:c16="http://schemas.microsoft.com/office/drawing/2014/chart" uri="{C3380CC4-5D6E-409C-BE32-E72D297353CC}">
              <c16:uniqueId val="{00000006-B0EA-A445-9BE5-2B04D264414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l'empreinte - Zoom</a:t>
            </a:r>
            <a:r>
              <a:rPr lang="fr-FR" sz="1100" b="1" baseline="0"/>
              <a:t> sur les travaux - EU</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5209946012233663"/>
          <c:y val="0.23666355777864764"/>
          <c:w val="0.3758015090492941"/>
          <c:h val="0.67140259569236915"/>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49D-5246-AC2C-C240E87FC0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49D-5246-AC2C-C240E87FC0D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49D-5246-AC2C-C240E87FC0D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49D-5246-AC2C-C240E87FC0D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49D-5246-AC2C-C240E87FC0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0"/>
            <c:extLst>
              <c:ext xmlns:c15="http://schemas.microsoft.com/office/drawing/2012/chart" uri="{CE6537A1-D6FC-4f65-9D91-7224C49458BB}"/>
            </c:extLst>
          </c:dLbls>
          <c:cat>
            <c:strRef>
              <c:f>'LOT 2'!$I$13:$I$17</c:f>
              <c:strCache>
                <c:ptCount val="5"/>
                <c:pt idx="0">
                  <c:v>Hydrocurage préventif</c:v>
                </c:pt>
                <c:pt idx="1">
                  <c:v>Hydrocurage curatif</c:v>
                </c:pt>
                <c:pt idx="2">
                  <c:v>Branchements neufs</c:v>
                </c:pt>
                <c:pt idx="3">
                  <c:v>Renouvellement</c:v>
                </c:pt>
                <c:pt idx="4">
                  <c:v>Émissions liées à des opérations de désobstruction</c:v>
                </c:pt>
              </c:strCache>
            </c:strRef>
          </c:cat>
          <c:val>
            <c:numRef>
              <c:f>'LOT 2'!$J$13:$J$17</c:f>
              <c:numCache>
                <c:formatCode>_-* #\ ##0_-;\-* #\ ##0_-;_-* "-"??_-;_-@_-</c:formatCode>
                <c:ptCount val="5"/>
                <c:pt idx="0">
                  <c:v>0</c:v>
                </c:pt>
                <c:pt idx="1">
                  <c:v>0</c:v>
                </c:pt>
                <c:pt idx="2">
                  <c:v>0</c:v>
                </c:pt>
                <c:pt idx="3">
                  <c:v>0</c:v>
                </c:pt>
                <c:pt idx="4">
                  <c:v>0</c:v>
                </c:pt>
              </c:numCache>
            </c:numRef>
          </c:val>
          <c:extLst>
            <c:ext xmlns:c16="http://schemas.microsoft.com/office/drawing/2014/chart" uri="{C3380CC4-5D6E-409C-BE32-E72D297353CC}">
              <c16:uniqueId val="{0000000A-649D-5246-AC2C-C240E87FC0DF}"/>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layout>
        <c:manualLayout>
          <c:xMode val="edge"/>
          <c:yMode val="edge"/>
          <c:x val="0.57642705084635748"/>
          <c:y val="0.19062591134441528"/>
          <c:w val="0.40969618124079454"/>
          <c:h val="0.75763706620005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 l'empreinte - Poste Achats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34-3B43-98CF-6A1668818F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934-3B43-98CF-6A1668818F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934-3B43-98CF-6A1668818F3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934-3B43-98CF-6A1668818F3D}"/>
              </c:ext>
            </c:extLst>
          </c:dPt>
          <c:dLbls>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5-8934-3B43-98CF-6A1668818F3D}"/>
                </c:ext>
              </c:extLst>
            </c:dLbl>
            <c:dLbl>
              <c:idx val="3"/>
              <c:layout>
                <c:manualLayout>
                  <c:x val="-2.7778276498838538E-3"/>
                  <c:y val="-3.8035147177236332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934-3B43-98CF-6A1668818F3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3'!$E$5:$E$8</c:f>
              <c:strCache>
                <c:ptCount val="4"/>
                <c:pt idx="0">
                  <c:v>Intrants - Travaux</c:v>
                </c:pt>
                <c:pt idx="1">
                  <c:v>Intrants - Réactifs</c:v>
                </c:pt>
                <c:pt idx="2">
                  <c:v>Intrants - Imports d'eau</c:v>
                </c:pt>
                <c:pt idx="3">
                  <c:v>Intrants - Autres intrants</c:v>
                </c:pt>
              </c:strCache>
            </c:strRef>
          </c:cat>
          <c:val>
            <c:numRef>
              <c:f>'LOT 3'!$F$5:$F$8</c:f>
              <c:numCache>
                <c:formatCode>_-* #\ ##0.00_-;\-* #\ ##0.00_-;_-* "-"??_-;_-@_-</c:formatCode>
                <c:ptCount val="4"/>
                <c:pt idx="0">
                  <c:v>3142391</c:v>
                </c:pt>
                <c:pt idx="1">
                  <c:v>33653.119999999995</c:v>
                </c:pt>
                <c:pt idx="2">
                  <c:v>999999</c:v>
                </c:pt>
                <c:pt idx="3">
                  <c:v>650000</c:v>
                </c:pt>
              </c:numCache>
            </c:numRef>
          </c:val>
          <c:extLst>
            <c:ext xmlns:c16="http://schemas.microsoft.com/office/drawing/2014/chart" uri="{C3380CC4-5D6E-409C-BE32-E72D297353CC}">
              <c16:uniqueId val="{00000008-8934-3B43-98CF-6A1668818F3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l'empreinte - Zoom</a:t>
            </a:r>
            <a:r>
              <a:rPr lang="fr-FR" sz="1100" b="1" baseline="0"/>
              <a:t> sur les travaux (RAD)</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58B-A749-A2DB-066348E8A2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58B-A749-A2DB-066348E8A29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58B-A749-A2DB-066348E8A29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58B-A749-A2DB-066348E8A29A}"/>
              </c:ext>
            </c:extLst>
          </c:dPt>
          <c:dLbls>
            <c:dLbl>
              <c:idx val="0"/>
              <c:layout>
                <c:manualLayout>
                  <c:x val="4.6133026215727417E-3"/>
                  <c:y val="-0.13844516989874969"/>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58B-A749-A2DB-066348E8A29A}"/>
                </c:ext>
              </c:extLst>
            </c:dLbl>
            <c:dLbl>
              <c:idx val="1"/>
              <c:layout>
                <c:manualLayout>
                  <c:x val="4.4444444444444446E-2"/>
                  <c:y val="-9.7222222222222224E-2"/>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r>
                      <a:rPr lang="en-US">
                        <a:solidFill>
                          <a:schemeClr val="accent2"/>
                        </a:solidFill>
                      </a:rPr>
                      <a:t>&lt;1%</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58B-A749-A2DB-066348E8A29A}"/>
                </c:ext>
              </c:extLst>
            </c:dLbl>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5-558B-A749-A2DB-066348E8A29A}"/>
                </c:ext>
              </c:extLst>
            </c:dLbl>
            <c:dLbl>
              <c:idx val="3"/>
              <c:layout>
                <c:manualLayout>
                  <c:x val="-5.76662827696598E-2"/>
                  <c:y val="-0.12961483899662499"/>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r>
                      <a:rPr lang="en-US">
                        <a:solidFill>
                          <a:schemeClr val="accent6"/>
                        </a:solidFill>
                      </a:rPr>
                      <a:t>&lt;1%</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58B-A749-A2DB-066348E8A29A}"/>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3'!$I$5:$I$8</c:f>
              <c:strCache>
                <c:ptCount val="4"/>
                <c:pt idx="0">
                  <c:v>Réparations sur conduite, tout matériaux</c:v>
                </c:pt>
                <c:pt idx="1">
                  <c:v>Réparations sur branchement, tout matériaux</c:v>
                </c:pt>
                <c:pt idx="2">
                  <c:v>Renouvellement</c:v>
                </c:pt>
                <c:pt idx="3">
                  <c:v>Nouveaux branchemens</c:v>
                </c:pt>
              </c:strCache>
            </c:strRef>
          </c:cat>
          <c:val>
            <c:numRef>
              <c:f>'LOT 3'!$J$5:$J$8</c:f>
              <c:numCache>
                <c:formatCode>_-* #\ ##0_-;\-* #\ ##0_-;_-* "-"??_-;_-@_-</c:formatCode>
                <c:ptCount val="4"/>
                <c:pt idx="0">
                  <c:v>400000</c:v>
                </c:pt>
                <c:pt idx="1">
                  <c:v>3450</c:v>
                </c:pt>
                <c:pt idx="2">
                  <c:v>145000</c:v>
                </c:pt>
                <c:pt idx="3">
                  <c:v>2584023</c:v>
                </c:pt>
              </c:numCache>
            </c:numRef>
          </c:val>
          <c:extLst>
            <c:ext xmlns:c16="http://schemas.microsoft.com/office/drawing/2014/chart" uri="{C3380CC4-5D6E-409C-BE32-E72D297353CC}">
              <c16:uniqueId val="{00000008-558B-A749-A2DB-066348E8A29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57642705084635748"/>
          <c:y val="0.19062591134441528"/>
          <c:w val="0.40969618124079454"/>
          <c:h val="0.75763706620005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r>
              <a:rPr lang="fr-FR" sz="1050" b="1" i="0" u="none" strike="noStrike" kern="1200" spc="0" baseline="0">
                <a:solidFill>
                  <a:sysClr val="windowText" lastClr="000000">
                    <a:lumMod val="65000"/>
                    <a:lumOff val="35000"/>
                  </a:sysClr>
                </a:solidFill>
                <a:latin typeface="+mn-lt"/>
                <a:ea typeface="+mn-ea"/>
                <a:cs typeface="+mn-cs"/>
              </a:rPr>
              <a:t>Répartition de l'empreinte - Emissions indirectes</a:t>
            </a:r>
          </a:p>
        </c:rich>
      </c:tx>
      <c:overlay val="0"/>
      <c:spPr>
        <a:noFill/>
        <a:ln>
          <a:noFill/>
        </a:ln>
        <a:effectLst/>
      </c:spPr>
      <c:txPr>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doughnutChart>
        <c:varyColors val="1"/>
        <c:ser>
          <c:idx val="0"/>
          <c:order val="0"/>
          <c:tx>
            <c:v>kgCO2e</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AF8-EC43-B614-450D8950876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AF8-EC43-B614-450D89508764}"/>
              </c:ext>
            </c:extLst>
          </c:dPt>
          <c:dPt>
            <c:idx val="2"/>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5-1AF8-EC43-B614-450D89508764}"/>
              </c:ext>
            </c:extLst>
          </c:dPt>
          <c:dPt>
            <c:idx val="3"/>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7-1AF8-EC43-B614-450D89508764}"/>
              </c:ext>
            </c:extLst>
          </c:dPt>
          <c:dLbls>
            <c:dLbl>
              <c:idx val="0"/>
              <c:layout>
                <c:manualLayout>
                  <c:x val="2.502607156142762E-2"/>
                  <c:y val="-0.121106270201952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AF8-EC43-B614-450D89508764}"/>
                </c:ext>
              </c:extLst>
            </c:dLbl>
            <c:dLbl>
              <c:idx val="1"/>
              <c:layout>
                <c:manualLayout>
                  <c:x val="-1.1094808608743911E-2"/>
                  <c:y val="-6.614614574394545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AF8-EC43-B614-450D89508764}"/>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3'!$E$22:$E$25</c:f>
              <c:strCache>
                <c:ptCount val="4"/>
                <c:pt idx="0">
                  <c:v>Rejets dans le milieu - N2O</c:v>
                </c:pt>
                <c:pt idx="1">
                  <c:v>Rejets dans le milieu - CH4</c:v>
                </c:pt>
                <c:pt idx="2">
                  <c:v>Compostage des boues - N2O</c:v>
                </c:pt>
                <c:pt idx="3">
                  <c:v>Compostage des boues - CH4</c:v>
                </c:pt>
              </c:strCache>
            </c:strRef>
          </c:cat>
          <c:val>
            <c:numRef>
              <c:f>'LOT 3'!$F$22:$F$25</c:f>
              <c:numCache>
                <c:formatCode>_-* #\ ##0_-;\-* #\ ##0_-;_-* "-"??_-;_-@_-</c:formatCode>
                <c:ptCount val="4"/>
                <c:pt idx="0">
                  <c:v>186.16675350000003</c:v>
                </c:pt>
                <c:pt idx="1">
                  <c:v>8603.0208000000002</c:v>
                </c:pt>
                <c:pt idx="2">
                  <c:v>4151</c:v>
                </c:pt>
                <c:pt idx="3">
                  <c:v>1478</c:v>
                </c:pt>
              </c:numCache>
            </c:numRef>
          </c:val>
          <c:extLst>
            <c:ext xmlns:c16="http://schemas.microsoft.com/office/drawing/2014/chart" uri="{C3380CC4-5D6E-409C-BE32-E72D297353CC}">
              <c16:uniqueId val="{00000008-1AF8-EC43-B614-450D8950876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r>
              <a:rPr lang="fr-FR" sz="1050" b="1" i="0" u="none" strike="noStrike" kern="1200" spc="0" baseline="0">
                <a:solidFill>
                  <a:sysClr val="windowText" lastClr="000000">
                    <a:lumMod val="65000"/>
                    <a:lumOff val="35000"/>
                  </a:sysClr>
                </a:solidFill>
                <a:latin typeface="+mn-lt"/>
                <a:ea typeface="+mn-ea"/>
                <a:cs typeface="+mn-cs"/>
              </a:rPr>
              <a:t>Répartition du poids rejeté - Emissions indirectes</a:t>
            </a:r>
          </a:p>
        </c:rich>
      </c:tx>
      <c:overlay val="0"/>
      <c:spPr>
        <a:noFill/>
        <a:ln>
          <a:noFill/>
        </a:ln>
        <a:effectLst/>
      </c:spPr>
      <c:txPr>
        <a:bodyPr rot="0" spcFirstLastPara="1" vertOverflow="ellipsis" vert="horz" wrap="square" anchor="ctr" anchorCtr="1"/>
        <a:lstStyle/>
        <a:p>
          <a:pPr algn="ctr" rtl="0">
            <a:defRPr lang="fr-FR" sz="105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doughnutChart>
        <c:varyColors val="1"/>
        <c:ser>
          <c:idx val="0"/>
          <c:order val="0"/>
          <c:tx>
            <c:v>kg</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F5-8E41-8275-608BB9C646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F5-8E41-8275-608BB9C64651}"/>
              </c:ext>
            </c:extLst>
          </c:dPt>
          <c:dPt>
            <c:idx val="2"/>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5-06F5-8E41-8275-608BB9C64651}"/>
              </c:ext>
            </c:extLst>
          </c:dPt>
          <c:dPt>
            <c:idx val="3"/>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7-06F5-8E41-8275-608BB9C64651}"/>
              </c:ext>
            </c:extLst>
          </c:dPt>
          <c:dLbls>
            <c:dLbl>
              <c:idx val="0"/>
              <c:layout>
                <c:manualLayout>
                  <c:x val="5.568355953865952E-3"/>
                  <c:y val="-0.12465673048189696"/>
                </c:manualLayout>
              </c:layout>
              <c:tx>
                <c:rich>
                  <a:bodyPr/>
                  <a:lstStyle/>
                  <a:p>
                    <a:r>
                      <a:rPr lang="en-US">
                        <a:solidFill>
                          <a:schemeClr val="accent1"/>
                        </a:solidFill>
                      </a:rPr>
                      <a:t>&lt;1%</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06F5-8E41-8275-608BB9C6465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3'!$E$22:$E$25</c:f>
              <c:strCache>
                <c:ptCount val="4"/>
                <c:pt idx="0">
                  <c:v>Rejets dans le milieu - N2O</c:v>
                </c:pt>
                <c:pt idx="1">
                  <c:v>Rejets dans le milieu - CH4</c:v>
                </c:pt>
                <c:pt idx="2">
                  <c:v>Compostage des boues - N2O</c:v>
                </c:pt>
                <c:pt idx="3">
                  <c:v>Compostage des boues - CH4</c:v>
                </c:pt>
              </c:strCache>
            </c:strRef>
          </c:cat>
          <c:val>
            <c:numRef>
              <c:f>'LOT 3'!$G$22:$G$25</c:f>
              <c:numCache>
                <c:formatCode>_-* #\ ##0_-;\-* #\ ##0_-;_-* "-"??_-;_-@_-</c:formatCode>
                <c:ptCount val="4"/>
                <c:pt idx="0">
                  <c:v>0.68192950000000008</c:v>
                </c:pt>
                <c:pt idx="1">
                  <c:v>308.35200000000003</c:v>
                </c:pt>
                <c:pt idx="2">
                  <c:v>23</c:v>
                </c:pt>
                <c:pt idx="3">
                  <c:v>690</c:v>
                </c:pt>
              </c:numCache>
            </c:numRef>
          </c:val>
          <c:extLst>
            <c:ext xmlns:c16="http://schemas.microsoft.com/office/drawing/2014/chart" uri="{C3380CC4-5D6E-409C-BE32-E72D297353CC}">
              <c16:uniqueId val="{00000008-06F5-8E41-8275-608BB9C6465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Réparition</a:t>
            </a:r>
            <a:r>
              <a:rPr lang="fr-FR" sz="1100" b="1" baseline="0"/>
              <a:t> de l'empreinte - File eau</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AAA-D944-AE7F-7604D95980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AA-D944-AE7F-7604D9598046}"/>
              </c:ext>
            </c:extLst>
          </c:dPt>
          <c:dLbls>
            <c:dLbl>
              <c:idx val="1"/>
              <c:layout>
                <c:manualLayout>
                  <c:x val="1.1111111111111112E-2"/>
                  <c:y val="-0.12037037037037039"/>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AAA-D944-AE7F-7604D9598046}"/>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3'!$E$15:$E$16</c:f>
              <c:strCache>
                <c:ptCount val="2"/>
                <c:pt idx="0">
                  <c:v>Quantité de N20</c:v>
                </c:pt>
                <c:pt idx="1">
                  <c:v>Quantité de CH4</c:v>
                </c:pt>
              </c:strCache>
            </c:strRef>
          </c:cat>
          <c:val>
            <c:numRef>
              <c:f>'LOT 3'!$F$15:$F$16</c:f>
              <c:numCache>
                <c:formatCode>_-* #\ ##0.00_-;\-* #\ ##0.00_-;_-* "-"??_-;_-@_-</c:formatCode>
                <c:ptCount val="2"/>
                <c:pt idx="0">
                  <c:v>5247.0864809999994</c:v>
                </c:pt>
                <c:pt idx="1">
                  <c:v>1214.8915499999998</c:v>
                </c:pt>
              </c:numCache>
            </c:numRef>
          </c:val>
          <c:extLst>
            <c:ext xmlns:c16="http://schemas.microsoft.com/office/drawing/2014/chart" uri="{C3380CC4-5D6E-409C-BE32-E72D297353CC}">
              <c16:uniqueId val="{00000004-7AAA-D944-AE7F-7604D959804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fr-FR" sz="1100" b="1" i="0" u="none" strike="noStrike" kern="1200" spc="0" baseline="0">
                <a:solidFill>
                  <a:sysClr val="windowText" lastClr="000000">
                    <a:lumMod val="65000"/>
                    <a:lumOff val="35000"/>
                  </a:sysClr>
                </a:solidFill>
              </a:rPr>
              <a:t>Réparition de l'empreinte - File eau</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770-E14E-9F1E-67C45BFDC7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770-E14E-9F1E-67C45BFDC71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3'!$E$15:$E$16</c:f>
              <c:strCache>
                <c:ptCount val="2"/>
                <c:pt idx="0">
                  <c:v>Quantité de N20</c:v>
                </c:pt>
                <c:pt idx="1">
                  <c:v>Quantité de CH4</c:v>
                </c:pt>
              </c:strCache>
            </c:strRef>
          </c:cat>
          <c:val>
            <c:numRef>
              <c:f>'LOT 3'!$G$15:$G$16</c:f>
              <c:numCache>
                <c:formatCode>_-* #\ ##0.00_-;\-* #\ ##0.00_-;_-* "-"??_-;_-@_-</c:formatCode>
                <c:ptCount val="2"/>
                <c:pt idx="0">
                  <c:v>19.220096999999999</c:v>
                </c:pt>
                <c:pt idx="1">
                  <c:v>43.544499999999999</c:v>
                </c:pt>
              </c:numCache>
            </c:numRef>
          </c:val>
          <c:extLst>
            <c:ext xmlns:c16="http://schemas.microsoft.com/office/drawing/2014/chart" uri="{C3380CC4-5D6E-409C-BE32-E72D297353CC}">
              <c16:uniqueId val="{00000004-4770-E14E-9F1E-67C45BFDC71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la</a:t>
            </a:r>
            <a:r>
              <a:rPr lang="fr-FR" sz="1100" b="1" baseline="0"/>
              <a:t> consommation d'électricité</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9-124A-8426-2D146528F79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9-124A-8426-2D146528F797}"/>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3'!$E$31:$E$32</c:f>
              <c:strCache>
                <c:ptCount val="2"/>
                <c:pt idx="0">
                  <c:v>Consommation AEP</c:v>
                </c:pt>
                <c:pt idx="1">
                  <c:v>Consommation EU</c:v>
                </c:pt>
              </c:strCache>
            </c:strRef>
          </c:cat>
          <c:val>
            <c:numRef>
              <c:f>'LOT 3'!$F$31:$F$32</c:f>
              <c:numCache>
                <c:formatCode>_-* #\ ##0_-;\-* #\ ##0_-;_-* "-"??_-;_-@_-</c:formatCode>
                <c:ptCount val="2"/>
                <c:pt idx="0">
                  <c:v>889998</c:v>
                </c:pt>
                <c:pt idx="1">
                  <c:v>19960.293999999998</c:v>
                </c:pt>
              </c:numCache>
            </c:numRef>
          </c:val>
          <c:extLst>
            <c:ext xmlns:c16="http://schemas.microsoft.com/office/drawing/2014/chart" uri="{C3380CC4-5D6E-409C-BE32-E72D297353CC}">
              <c16:uniqueId val="{00000004-2379-124A-8426-2D146528F79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Détail des émissions liées à l'électricité</a:t>
            </a:r>
            <a:r>
              <a:rPr lang="fr-FR" sz="1100" b="1" baseline="0"/>
              <a:t> consommée</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3045655427848205"/>
          <c:y val="0.23900444736074658"/>
          <c:w val="0.32384254470049123"/>
          <c:h val="0.65162073490813643"/>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B98-AA4E-9F52-3B1D8FEE4D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B98-AA4E-9F52-3B1D8FEE4D7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B98-AA4E-9F52-3B1D8FEE4D72}"/>
              </c:ext>
            </c:extLst>
          </c:dPt>
          <c:dLbls>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5-DB98-AA4E-9F52-3B1D8FEE4D72}"/>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3'!$E$33:$E$35</c:f>
              <c:strCache>
                <c:ptCount val="3"/>
                <c:pt idx="0">
                  <c:v>Amont - Infrastructures</c:v>
                </c:pt>
                <c:pt idx="1">
                  <c:v>Production de l'électricité - Scope 2</c:v>
                </c:pt>
                <c:pt idx="2">
                  <c:v>Pertes</c:v>
                </c:pt>
              </c:strCache>
            </c:strRef>
          </c:cat>
          <c:val>
            <c:numRef>
              <c:f>'LOT 3'!$F$33:$F$35</c:f>
              <c:numCache>
                <c:formatCode>0%</c:formatCode>
                <c:ptCount val="3"/>
                <c:pt idx="0">
                  <c:v>0.23</c:v>
                </c:pt>
                <c:pt idx="1">
                  <c:v>0.69</c:v>
                </c:pt>
                <c:pt idx="2">
                  <c:v>0.09</c:v>
                </c:pt>
              </c:numCache>
            </c:numRef>
          </c:val>
          <c:extLst>
            <c:ext xmlns:c16="http://schemas.microsoft.com/office/drawing/2014/chart" uri="{C3380CC4-5D6E-409C-BE32-E72D297353CC}">
              <c16:uniqueId val="{00000006-DB98-AA4E-9F52-3B1D8FEE4D7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58015398556960485"/>
          <c:y val="0.34215332458442693"/>
          <c:w val="0.40604101136684384"/>
          <c:h val="0.454582239720034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des émissions par Scope</a:t>
            </a:r>
            <a:endParaRPr lang="fr-FR" sz="11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1-90B0-674F-8B19-51AC09264CF6}"/>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90B0-674F-8B19-51AC09264CF6}"/>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90B0-674F-8B19-51AC09264CF6}"/>
              </c:ext>
            </c:extLst>
          </c:dPt>
          <c:dLbls>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90B0-674F-8B19-51AC09264CF6}"/>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3'!$B$5:$B$7</c:f>
              <c:strCache>
                <c:ptCount val="3"/>
                <c:pt idx="0">
                  <c:v>Scope 1</c:v>
                </c:pt>
                <c:pt idx="1">
                  <c:v>Scope 2</c:v>
                </c:pt>
                <c:pt idx="2">
                  <c:v>Scope 3</c:v>
                </c:pt>
              </c:strCache>
            </c:strRef>
          </c:cat>
          <c:val>
            <c:numRef>
              <c:f>'LOT 3'!$C$5:$C$7</c:f>
              <c:numCache>
                <c:formatCode>_-* #\ ##0.00_-;\-* #\ ##0.00_-;_-* "-"??_-;_-@_-</c:formatCode>
                <c:ptCount val="3"/>
                <c:pt idx="0">
                  <c:v>120564</c:v>
                </c:pt>
                <c:pt idx="1">
                  <c:v>909958.29399999999</c:v>
                </c:pt>
                <c:pt idx="2">
                  <c:v>5110045.4227294996</c:v>
                </c:pt>
              </c:numCache>
            </c:numRef>
          </c:val>
          <c:extLst>
            <c:ext xmlns:c16="http://schemas.microsoft.com/office/drawing/2014/chart" uri="{C3380CC4-5D6E-409C-BE32-E72D297353CC}">
              <c16:uniqueId val="{00000006-90B0-674F-8B19-51AC09264CF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 l'empreinte - Zoom</a:t>
            </a:r>
            <a:r>
              <a:rPr lang="fr-FR" sz="1100" b="1" baseline="0"/>
              <a:t> sur les travaux - EU</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5209946012233663"/>
          <c:y val="0.23666355777864764"/>
          <c:w val="0.3758015090492941"/>
          <c:h val="0.67140259569236915"/>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CA1-6046-9E92-7037290572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CA1-6046-9E92-7037290572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CA1-6046-9E92-7037290572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CA1-6046-9E92-7037290572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CA1-6046-9E92-70372905726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0"/>
            <c:extLst>
              <c:ext xmlns:c15="http://schemas.microsoft.com/office/drawing/2012/chart" uri="{CE6537A1-D6FC-4f65-9D91-7224C49458BB}"/>
            </c:extLst>
          </c:dLbls>
          <c:cat>
            <c:strRef>
              <c:f>'LOT 3'!$I$13:$I$17</c:f>
              <c:strCache>
                <c:ptCount val="5"/>
                <c:pt idx="0">
                  <c:v>Hydrocurage préventif</c:v>
                </c:pt>
                <c:pt idx="1">
                  <c:v>Hydrocurage curatif</c:v>
                </c:pt>
                <c:pt idx="2">
                  <c:v>Branchements neufs</c:v>
                </c:pt>
                <c:pt idx="3">
                  <c:v>Renouvellement</c:v>
                </c:pt>
                <c:pt idx="4">
                  <c:v>Émissions liées à des opérations de désobstruction</c:v>
                </c:pt>
              </c:strCache>
            </c:strRef>
          </c:cat>
          <c:val>
            <c:numRef>
              <c:f>'LOT 3'!$J$13:$J$17</c:f>
              <c:numCache>
                <c:formatCode>_-* #\ ##0_-;\-* #\ ##0_-;_-* "-"??_-;_-@_-</c:formatCode>
                <c:ptCount val="5"/>
                <c:pt idx="0">
                  <c:v>1234</c:v>
                </c:pt>
                <c:pt idx="1">
                  <c:v>456</c:v>
                </c:pt>
                <c:pt idx="2">
                  <c:v>7415</c:v>
                </c:pt>
                <c:pt idx="3">
                  <c:v>789</c:v>
                </c:pt>
                <c:pt idx="4">
                  <c:v>24</c:v>
                </c:pt>
              </c:numCache>
            </c:numRef>
          </c:val>
          <c:extLst>
            <c:ext xmlns:c16="http://schemas.microsoft.com/office/drawing/2014/chart" uri="{C3380CC4-5D6E-409C-BE32-E72D297353CC}">
              <c16:uniqueId val="{0000000A-BCA1-6046-9E92-703729057262}"/>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layout>
        <c:manualLayout>
          <c:xMode val="edge"/>
          <c:yMode val="edge"/>
          <c:x val="0.57642705084635748"/>
          <c:y val="0.19062591134441528"/>
          <c:w val="0.40969618124079454"/>
          <c:h val="0.75763706620005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Comparaison de l'impact entre lots - Postes</a:t>
            </a:r>
            <a:r>
              <a:rPr lang="fr-FR" sz="1100" b="1" baseline="0"/>
              <a:t> majeurs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'Par poste - avec chauffage'!$B$18</c:f>
              <c:strCache>
                <c:ptCount val="1"/>
                <c:pt idx="0">
                  <c:v>EST</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'Par poste - avec chauffage'!$A$19:$A$22</c:f>
              <c:strCache>
                <c:ptCount val="4"/>
                <c:pt idx="0">
                  <c:v>Utilisation</c:v>
                </c:pt>
                <c:pt idx="1">
                  <c:v>File eau des STEP</c:v>
                </c:pt>
                <c:pt idx="2">
                  <c:v>Intrants - Travaux</c:v>
                </c:pt>
                <c:pt idx="3">
                  <c:v>Intrants - Réactifs et imports d'eau</c:v>
                </c:pt>
              </c:strCache>
            </c:strRef>
          </c:cat>
          <c:val>
            <c:numRef>
              <c:f>'Par poste - avec chauffage'!$B$19:$B$22</c:f>
              <c:numCache>
                <c:formatCode>_-* #\ ##0_-;\-* #\ ##0_-;_-* "-"??_-;_-@_-</c:formatCode>
                <c:ptCount val="4"/>
                <c:pt idx="0">
                  <c:v>3598.6071299999999</c:v>
                </c:pt>
                <c:pt idx="1">
                  <c:v>1078</c:v>
                </c:pt>
                <c:pt idx="2">
                  <c:v>749.14400000000001</c:v>
                </c:pt>
                <c:pt idx="3">
                  <c:v>594.86500000000001</c:v>
                </c:pt>
              </c:numCache>
            </c:numRef>
          </c:val>
          <c:extLst>
            <c:ext xmlns:c16="http://schemas.microsoft.com/office/drawing/2014/chart" uri="{C3380CC4-5D6E-409C-BE32-E72D297353CC}">
              <c16:uniqueId val="{00000000-297F-454C-A694-C607DE8CFF6A}"/>
            </c:ext>
          </c:extLst>
        </c:ser>
        <c:ser>
          <c:idx val="1"/>
          <c:order val="1"/>
          <c:tx>
            <c:strRef>
              <c:f>'Par poste - avec chauffage'!$C$18</c:f>
              <c:strCache>
                <c:ptCount val="1"/>
                <c:pt idx="0">
                  <c:v>SUD</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'Par poste - avec chauffage'!$A$19:$A$22</c:f>
              <c:strCache>
                <c:ptCount val="4"/>
                <c:pt idx="0">
                  <c:v>Utilisation</c:v>
                </c:pt>
                <c:pt idx="1">
                  <c:v>File eau des STEP</c:v>
                </c:pt>
                <c:pt idx="2">
                  <c:v>Intrants - Travaux</c:v>
                </c:pt>
                <c:pt idx="3">
                  <c:v>Intrants - Réactifs et imports d'eau</c:v>
                </c:pt>
              </c:strCache>
            </c:strRef>
          </c:cat>
          <c:val>
            <c:numRef>
              <c:f>'Par poste - avec chauffage'!$C$19:$C$22</c:f>
              <c:numCache>
                <c:formatCode>_-* #\ ##0_-;\-* #\ ##0_-;_-* "-"??_-;_-@_-</c:formatCode>
                <c:ptCount val="4"/>
                <c:pt idx="0">
                  <c:v>2404.3177999999998</c:v>
                </c:pt>
                <c:pt idx="1">
                  <c:v>300.488</c:v>
                </c:pt>
                <c:pt idx="2">
                  <c:v>343.39699999999999</c:v>
                </c:pt>
                <c:pt idx="3">
                  <c:v>221.023</c:v>
                </c:pt>
              </c:numCache>
            </c:numRef>
          </c:val>
          <c:extLst>
            <c:ext xmlns:c16="http://schemas.microsoft.com/office/drawing/2014/chart" uri="{C3380CC4-5D6E-409C-BE32-E72D297353CC}">
              <c16:uniqueId val="{00000001-297F-454C-A694-C607DE8CFF6A}"/>
            </c:ext>
          </c:extLst>
        </c:ser>
        <c:dLbls>
          <c:dLblPos val="outEnd"/>
          <c:showLegendKey val="0"/>
          <c:showVal val="1"/>
          <c:showCatName val="0"/>
          <c:showSerName val="0"/>
          <c:showPercent val="0"/>
          <c:showBubbleSize val="0"/>
        </c:dLbls>
        <c:gapWidth val="219"/>
        <c:overlap val="-27"/>
        <c:axId val="1896590560"/>
        <c:axId val="1896561280"/>
      </c:barChart>
      <c:catAx>
        <c:axId val="189659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561280"/>
        <c:crosses val="autoZero"/>
        <c:auto val="1"/>
        <c:lblAlgn val="ctr"/>
        <c:lblOffset val="100"/>
        <c:noMultiLvlLbl val="0"/>
      </c:catAx>
      <c:valAx>
        <c:axId val="1896561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tCO2e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_-* #\ ##0_-;\-* #\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590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Comparaison de l'impact entre lots - Postes</a:t>
            </a:r>
            <a:r>
              <a:rPr lang="fr-FR" sz="1100" b="1" baseline="0"/>
              <a:t> mineurs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'Par poste - avec chauffage'!$B$18</c:f>
              <c:strCache>
                <c:ptCount val="1"/>
                <c:pt idx="0">
                  <c:v>EST</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'Par poste - avec chauffage'!$A$23:$A$28</c:f>
              <c:strCache>
                <c:ptCount val="6"/>
                <c:pt idx="0">
                  <c:v>Emissions indirectes (compostage et rejets)</c:v>
                </c:pt>
                <c:pt idx="1">
                  <c:v>Electricité</c:v>
                </c:pt>
                <c:pt idx="2">
                  <c:v>Intrants - Autres intrants</c:v>
                </c:pt>
                <c:pt idx="3">
                  <c:v>Immobilisations</c:v>
                </c:pt>
                <c:pt idx="4">
                  <c:v>Digesteur</c:v>
                </c:pt>
                <c:pt idx="5">
                  <c:v>Parc automobile</c:v>
                </c:pt>
              </c:strCache>
            </c:strRef>
          </c:cat>
          <c:val>
            <c:numRef>
              <c:f>'Par poste - avec chauffage'!$B$23:$B$28</c:f>
              <c:numCache>
                <c:formatCode>_-* #\ ##0_-;\-* #\ ##0_-;_-* "-"??_-;_-@_-</c:formatCode>
                <c:ptCount val="6"/>
                <c:pt idx="0">
                  <c:v>286</c:v>
                </c:pt>
                <c:pt idx="1">
                  <c:v>230.72300000000001</c:v>
                </c:pt>
                <c:pt idx="2">
                  <c:v>95.417000000000002</c:v>
                </c:pt>
                <c:pt idx="3">
                  <c:v>58.185000000000002</c:v>
                </c:pt>
                <c:pt idx="4">
                  <c:v>106.407</c:v>
                </c:pt>
                <c:pt idx="5">
                  <c:v>31.867999999999999</c:v>
                </c:pt>
              </c:numCache>
            </c:numRef>
          </c:val>
          <c:extLst>
            <c:ext xmlns:c16="http://schemas.microsoft.com/office/drawing/2014/chart" uri="{C3380CC4-5D6E-409C-BE32-E72D297353CC}">
              <c16:uniqueId val="{00000000-58F3-4000-8007-731F0561E264}"/>
            </c:ext>
          </c:extLst>
        </c:ser>
        <c:ser>
          <c:idx val="1"/>
          <c:order val="1"/>
          <c:tx>
            <c:strRef>
              <c:f>'Par poste - avec chauffage'!$C$18</c:f>
              <c:strCache>
                <c:ptCount val="1"/>
                <c:pt idx="0">
                  <c:v>SUD</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'Par poste - avec chauffage'!$A$23:$A$28</c:f>
              <c:strCache>
                <c:ptCount val="6"/>
                <c:pt idx="0">
                  <c:v>Emissions indirectes (compostage et rejets)</c:v>
                </c:pt>
                <c:pt idx="1">
                  <c:v>Electricité</c:v>
                </c:pt>
                <c:pt idx="2">
                  <c:v>Intrants - Autres intrants</c:v>
                </c:pt>
                <c:pt idx="3">
                  <c:v>Immobilisations</c:v>
                </c:pt>
                <c:pt idx="4">
                  <c:v>Digesteur</c:v>
                </c:pt>
                <c:pt idx="5">
                  <c:v>Parc automobile</c:v>
                </c:pt>
              </c:strCache>
            </c:strRef>
          </c:cat>
          <c:val>
            <c:numRef>
              <c:f>'Par poste - avec chauffage'!$C$23:$C$28</c:f>
              <c:numCache>
                <c:formatCode>_-* #\ ##0_-;\-* #\ ##0_-;_-* "-"??_-;_-@_-</c:formatCode>
                <c:ptCount val="6"/>
                <c:pt idx="0">
                  <c:v>58</c:v>
                </c:pt>
                <c:pt idx="1">
                  <c:v>77.165000000000006</c:v>
                </c:pt>
                <c:pt idx="2">
                  <c:v>128.524</c:v>
                </c:pt>
                <c:pt idx="3">
                  <c:v>68</c:v>
                </c:pt>
                <c:pt idx="4">
                  <c:v>0</c:v>
                </c:pt>
                <c:pt idx="5">
                  <c:v>39.402999999999999</c:v>
                </c:pt>
              </c:numCache>
            </c:numRef>
          </c:val>
          <c:extLst>
            <c:ext xmlns:c16="http://schemas.microsoft.com/office/drawing/2014/chart" uri="{C3380CC4-5D6E-409C-BE32-E72D297353CC}">
              <c16:uniqueId val="{00000001-58F3-4000-8007-731F0561E264}"/>
            </c:ext>
          </c:extLst>
        </c:ser>
        <c:dLbls>
          <c:dLblPos val="outEnd"/>
          <c:showLegendKey val="0"/>
          <c:showVal val="1"/>
          <c:showCatName val="0"/>
          <c:showSerName val="0"/>
          <c:showPercent val="0"/>
          <c:showBubbleSize val="0"/>
        </c:dLbls>
        <c:gapWidth val="219"/>
        <c:overlap val="-27"/>
        <c:axId val="1784866240"/>
        <c:axId val="1784860480"/>
      </c:barChart>
      <c:catAx>
        <c:axId val="178486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84860480"/>
        <c:crosses val="autoZero"/>
        <c:auto val="1"/>
        <c:lblAlgn val="ctr"/>
        <c:lblOffset val="100"/>
        <c:noMultiLvlLbl val="0"/>
      </c:catAx>
      <c:valAx>
        <c:axId val="1784860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tCO2e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_-* #\ ##0_-;\-* #\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84866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fr-FR" sz="1200" b="1"/>
              <a:t>Répartition</a:t>
            </a:r>
            <a:r>
              <a:rPr lang="fr-FR" sz="1200" b="1" baseline="0"/>
              <a:t> des émissions - chauffage de l'eau inclus - SBAA EST</a:t>
            </a:r>
            <a:endParaRPr lang="fr-FR"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29-464D-AF54-D78B4B4309F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29-464D-AF54-D78B4B4309FF}"/>
              </c:ext>
            </c:extLst>
          </c:dPt>
          <c:dPt>
            <c:idx val="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1-3614-418A-967E-1A9B31FED3D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B29-464D-AF54-D78B4B4309F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B29-464D-AF54-D78B4B4309F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8-3614-418A-967E-1A9B31FED3D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4-3614-418A-967E-1A9B31FED3D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2-3614-418A-967E-1A9B31FED3D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B29-464D-AF54-D78B4B4309F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7-3614-418A-967E-1A9B31FED3D3}"/>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6-3614-418A-967E-1A9B31FED3D3}"/>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5-3614-418A-967E-1A9B31FED3D3}"/>
              </c:ext>
            </c:extLst>
          </c:dPt>
          <c:dLbls>
            <c:dLbl>
              <c:idx val="2"/>
              <c:layout>
                <c:manualLayout>
                  <c:x val="6.2204039316980056E-2"/>
                  <c:y val="-3.7186014252198828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60000"/>
                          <a:lumOff val="40000"/>
                        </a:schemeClr>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614-418A-967E-1A9B31FED3D3}"/>
                </c:ext>
              </c:extLst>
            </c:dLbl>
            <c:dLbl>
              <c:idx val="5"/>
              <c:layout>
                <c:manualLayout>
                  <c:x val="3.4693974558116232E-3"/>
                  <c:y val="1.2563798996033748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8-3614-418A-967E-1A9B31FED3D3}"/>
                </c:ext>
              </c:extLst>
            </c:dLbl>
            <c:dLbl>
              <c:idx val="6"/>
              <c:layout>
                <c:manualLayout>
                  <c:x val="3.2829909639517249E-2"/>
                  <c:y val="0.111558042756596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3614-418A-967E-1A9B31FED3D3}"/>
                </c:ext>
              </c:extLst>
            </c:dLbl>
            <c:dLbl>
              <c:idx val="7"/>
              <c:layout>
                <c:manualLayout>
                  <c:x val="1.2095229867190502E-2"/>
                  <c:y val="0.12085454631964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lumMod val="75000"/>
                        </a:schemeClr>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614-418A-967E-1A9B31FED3D3}"/>
                </c:ext>
              </c:extLst>
            </c:dLbl>
            <c:dLbl>
              <c:idx val="9"/>
              <c:delete val="1"/>
              <c:extLst>
                <c:ext xmlns:c15="http://schemas.microsoft.com/office/drawing/2012/chart" uri="{CE6537A1-D6FC-4f65-9D91-7224C49458BB}"/>
                <c:ext xmlns:c16="http://schemas.microsoft.com/office/drawing/2014/chart" uri="{C3380CC4-5D6E-409C-BE32-E72D297353CC}">
                  <c16:uniqueId val="{00000007-3614-418A-967E-1A9B31FED3D3}"/>
                </c:ext>
              </c:extLst>
            </c:dLbl>
            <c:dLbl>
              <c:idx val="10"/>
              <c:delete val="1"/>
              <c:extLst>
                <c:ext xmlns:c15="http://schemas.microsoft.com/office/drawing/2012/chart" uri="{CE6537A1-D6FC-4f65-9D91-7224C49458BB}"/>
                <c:ext xmlns:c16="http://schemas.microsoft.com/office/drawing/2014/chart" uri="{C3380CC4-5D6E-409C-BE32-E72D297353CC}">
                  <c16:uniqueId val="{00000006-3614-418A-967E-1A9B31FED3D3}"/>
                </c:ext>
              </c:extLst>
            </c:dLbl>
            <c:dLbl>
              <c:idx val="11"/>
              <c:layout>
                <c:manualLayout>
                  <c:x val="3.4693974558115594E-3"/>
                  <c:y val="-0.12877893970934592"/>
                </c:manualLayout>
              </c:layout>
              <c:tx>
                <c:rich>
                  <a:bodyPr/>
                  <a:lstStyle/>
                  <a:p>
                    <a:r>
                      <a:rPr lang="en-US">
                        <a:solidFill>
                          <a:schemeClr val="bg1">
                            <a:lumMod val="65000"/>
                          </a:schemeClr>
                        </a:solidFill>
                      </a:rPr>
                      <a:t>&lt;1%</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3614-418A-967E-1A9B31FED3D3}"/>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'Par poste - avec chauffage'!$A$2:$A$13</c:f>
              <c:strCache>
                <c:ptCount val="12"/>
                <c:pt idx="0">
                  <c:v>Intrants - Travaux</c:v>
                </c:pt>
                <c:pt idx="1">
                  <c:v>Intrants - Réactifs et imports d'eau</c:v>
                </c:pt>
                <c:pt idx="2">
                  <c:v>Intrants - Autres intrants</c:v>
                </c:pt>
                <c:pt idx="3">
                  <c:v>File eau des STEP</c:v>
                </c:pt>
                <c:pt idx="4">
                  <c:v>Emissions indirectes (compostage et rejets)</c:v>
                </c:pt>
                <c:pt idx="5">
                  <c:v>Electricité</c:v>
                </c:pt>
                <c:pt idx="6">
                  <c:v>Immobilisations</c:v>
                </c:pt>
                <c:pt idx="7">
                  <c:v>Digesteur</c:v>
                </c:pt>
                <c:pt idx="8">
                  <c:v>Utilisation (épandage)</c:v>
                </c:pt>
                <c:pt idx="9">
                  <c:v>Parc automobile</c:v>
                </c:pt>
                <c:pt idx="10">
                  <c:v>Déchets</c:v>
                </c:pt>
                <c:pt idx="11">
                  <c:v>Fret</c:v>
                </c:pt>
              </c:strCache>
            </c:strRef>
          </c:cat>
          <c:val>
            <c:numRef>
              <c:f>'Par poste - avec chauffage'!$B$2:$B$13</c:f>
              <c:numCache>
                <c:formatCode>_-* #\ ##0_-;\-* #\ ##0_-;_-* "-"??_-;_-@_-</c:formatCode>
                <c:ptCount val="12"/>
                <c:pt idx="0">
                  <c:v>749.14400000000001</c:v>
                </c:pt>
                <c:pt idx="1">
                  <c:v>594.86500000000001</c:v>
                </c:pt>
                <c:pt idx="2">
                  <c:v>95.417000000000002</c:v>
                </c:pt>
                <c:pt idx="3">
                  <c:v>1078</c:v>
                </c:pt>
                <c:pt idx="4">
                  <c:v>286</c:v>
                </c:pt>
                <c:pt idx="5">
                  <c:v>230.72300000000001</c:v>
                </c:pt>
                <c:pt idx="6">
                  <c:v>58.185000000000002</c:v>
                </c:pt>
                <c:pt idx="7">
                  <c:v>106.407</c:v>
                </c:pt>
                <c:pt idx="8">
                  <c:v>3598.6071299999999</c:v>
                </c:pt>
                <c:pt idx="9">
                  <c:v>31.867999999999999</c:v>
                </c:pt>
                <c:pt idx="10">
                  <c:v>1.381</c:v>
                </c:pt>
                <c:pt idx="11">
                  <c:v>8.91</c:v>
                </c:pt>
              </c:numCache>
            </c:numRef>
          </c:val>
          <c:extLst>
            <c:ext xmlns:c16="http://schemas.microsoft.com/office/drawing/2014/chart" uri="{C3380CC4-5D6E-409C-BE32-E72D297353CC}">
              <c16:uniqueId val="{00000000-3614-418A-967E-1A9B31FED3D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1689020330386835"/>
          <c:y val="0.13845716707867359"/>
          <c:w val="0.37199096660717657"/>
          <c:h val="0.816652905815363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200" b="1" i="0" u="none" strike="noStrike" kern="1200" spc="0" baseline="0">
                <a:solidFill>
                  <a:sysClr val="windowText" lastClr="000000">
                    <a:lumMod val="65000"/>
                    <a:lumOff val="35000"/>
                  </a:sysClr>
                </a:solidFill>
                <a:latin typeface="+mn-lt"/>
                <a:ea typeface="+mn-ea"/>
                <a:cs typeface="+mn-cs"/>
              </a:defRPr>
            </a:pPr>
            <a:r>
              <a:rPr lang="fr-FR" sz="1200" b="1" i="0" u="none" strike="noStrike" kern="1200" spc="0" baseline="0">
                <a:solidFill>
                  <a:sysClr val="windowText" lastClr="000000">
                    <a:lumMod val="65000"/>
                    <a:lumOff val="35000"/>
                  </a:sysClr>
                </a:solidFill>
                <a:latin typeface="+mn-lt"/>
                <a:ea typeface="+mn-ea"/>
                <a:cs typeface="+mn-cs"/>
              </a:rPr>
              <a:t>Répartition des émissions - chauffage de l'eau inclus - SBAA SUD</a:t>
            </a:r>
          </a:p>
        </c:rich>
      </c:tx>
      <c:overlay val="0"/>
      <c:spPr>
        <a:noFill/>
        <a:ln>
          <a:noFill/>
        </a:ln>
        <a:effectLst/>
      </c:spPr>
      <c:txPr>
        <a:bodyPr rot="0" spcFirstLastPara="1" vertOverflow="ellipsis" vert="horz" wrap="square" anchor="ctr" anchorCtr="1"/>
        <a:lstStyle/>
        <a:p>
          <a:pPr algn="ctr" rtl="0">
            <a:defRPr lang="fr-FR" sz="120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manualLayout>
          <c:layoutTarget val="inner"/>
          <c:xMode val="edge"/>
          <c:yMode val="edge"/>
          <c:x val="9.1998877549660921E-2"/>
          <c:y val="0.17582555816441761"/>
          <c:w val="0.42735187208285036"/>
          <c:h val="0.73642787208529814"/>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E4D-4503-9B7D-33853AAC0A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E4D-4503-9B7D-33853AAC0AAC}"/>
              </c:ext>
            </c:extLst>
          </c:dPt>
          <c:dPt>
            <c:idx val="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1-6D45-46D3-8F2F-5CFEAAE8C92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E4D-4503-9B7D-33853AAC0AA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E4D-4503-9B7D-33853AAC0AA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E4D-4503-9B7D-33853AAC0AA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E4D-4503-9B7D-33853AAC0AAC}"/>
              </c:ext>
            </c:extLst>
          </c:dPt>
          <c:dPt>
            <c:idx val="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03-6D45-46D3-8F2F-5CFEAAE8C928}"/>
              </c:ext>
            </c:extLst>
          </c:dPt>
          <c:dPt>
            <c:idx val="8"/>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04-6D45-46D3-8F2F-5CFEAAE8C928}"/>
              </c:ext>
            </c:extLst>
          </c:dPt>
          <c:dPt>
            <c:idx val="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5-6D45-46D3-8F2F-5CFEAAE8C928}"/>
              </c:ext>
            </c:extLst>
          </c:dPt>
          <c:dPt>
            <c:idx val="1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6-6D45-46D3-8F2F-5CFEAAE8C928}"/>
              </c:ext>
            </c:extLst>
          </c:dPt>
          <c:dLbls>
            <c:dLbl>
              <c:idx val="8"/>
              <c:layout>
                <c:manualLayout>
                  <c:x val="-1.2337516709077748E-2"/>
                  <c:y val="-0.12081988181532347"/>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5">
                          <a:lumMod val="50000"/>
                        </a:schemeClr>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D45-46D3-8F2F-5CFEAAE8C928}"/>
                </c:ext>
              </c:extLst>
            </c:dLbl>
            <c:dLbl>
              <c:idx val="9"/>
              <c:delete val="1"/>
              <c:extLst>
                <c:ext xmlns:c15="http://schemas.microsoft.com/office/drawing/2012/chart" uri="{CE6537A1-D6FC-4f65-9D91-7224C49458BB}"/>
                <c:ext xmlns:c16="http://schemas.microsoft.com/office/drawing/2014/chart" uri="{C3380CC4-5D6E-409C-BE32-E72D297353CC}">
                  <c16:uniqueId val="{00000005-6D45-46D3-8F2F-5CFEAAE8C928}"/>
                </c:ext>
              </c:extLst>
            </c:dLbl>
            <c:dLbl>
              <c:idx val="10"/>
              <c:layout>
                <c:manualLayout>
                  <c:x val="1.4100019096088854E-2"/>
                  <c:y val="-0.12686087590608966"/>
                </c:manualLayout>
              </c:layout>
              <c:tx>
                <c:rich>
                  <a:bodyPr/>
                  <a:lstStyle/>
                  <a:p>
                    <a:r>
                      <a:rPr lang="en-US">
                        <a:solidFill>
                          <a:schemeClr val="bg1">
                            <a:lumMod val="65000"/>
                          </a:schemeClr>
                        </a:solidFill>
                      </a:rPr>
                      <a:t>&lt;1%</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6-6D45-46D3-8F2F-5CFEAAE8C928}"/>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'Par poste - avec chauffage'!$A$2:$A$13</c15:sqref>
                  </c15:fullRef>
                </c:ext>
              </c:extLst>
              <c:f>('Par poste - avec chauffage'!$A$2:$A$8,'Par poste - avec chauffage'!$A$10:$A$13)</c:f>
              <c:strCache>
                <c:ptCount val="11"/>
                <c:pt idx="0">
                  <c:v>Intrants - Travaux</c:v>
                </c:pt>
                <c:pt idx="1">
                  <c:v>Intrants - Réactifs et imports d'eau</c:v>
                </c:pt>
                <c:pt idx="2">
                  <c:v>Intrants - Autres intrants</c:v>
                </c:pt>
                <c:pt idx="3">
                  <c:v>File eau des STEP</c:v>
                </c:pt>
                <c:pt idx="4">
                  <c:v>Emissions indirectes (compostage et rejets)</c:v>
                </c:pt>
                <c:pt idx="5">
                  <c:v>Electricité</c:v>
                </c:pt>
                <c:pt idx="6">
                  <c:v>Immobilisations</c:v>
                </c:pt>
                <c:pt idx="7">
                  <c:v>Utilisation (épandage)</c:v>
                </c:pt>
                <c:pt idx="8">
                  <c:v>Parc automobile</c:v>
                </c:pt>
                <c:pt idx="9">
                  <c:v>Déchets</c:v>
                </c:pt>
                <c:pt idx="10">
                  <c:v>Fret</c:v>
                </c:pt>
              </c:strCache>
            </c:strRef>
          </c:cat>
          <c:val>
            <c:numRef>
              <c:extLst>
                <c:ext xmlns:c15="http://schemas.microsoft.com/office/drawing/2012/chart" uri="{02D57815-91ED-43cb-92C2-25804820EDAC}">
                  <c15:fullRef>
                    <c15:sqref>'Par poste - avec chauffage'!$C$2:$C$13</c15:sqref>
                  </c15:fullRef>
                </c:ext>
              </c:extLst>
              <c:f>('Par poste - avec chauffage'!$C$2:$C$8,'Par poste - avec chauffage'!$C$10:$C$13)</c:f>
              <c:numCache>
                <c:formatCode>_-* #\ ##0_-;\-* #\ ##0_-;_-* "-"??_-;_-@_-</c:formatCode>
                <c:ptCount val="11"/>
                <c:pt idx="0">
                  <c:v>343.39699999999999</c:v>
                </c:pt>
                <c:pt idx="1">
                  <c:v>221.023</c:v>
                </c:pt>
                <c:pt idx="2">
                  <c:v>128.524</c:v>
                </c:pt>
                <c:pt idx="3">
                  <c:v>300.488</c:v>
                </c:pt>
                <c:pt idx="4">
                  <c:v>58</c:v>
                </c:pt>
                <c:pt idx="5">
                  <c:v>77.165000000000006</c:v>
                </c:pt>
                <c:pt idx="6">
                  <c:v>68</c:v>
                </c:pt>
                <c:pt idx="7">
                  <c:v>2404.3177999999998</c:v>
                </c:pt>
                <c:pt idx="8">
                  <c:v>39.402999999999999</c:v>
                </c:pt>
                <c:pt idx="9">
                  <c:v>10.276999999999999</c:v>
                </c:pt>
                <c:pt idx="10">
                  <c:v>1.0720000000000001</c:v>
                </c:pt>
              </c:numCache>
            </c:numRef>
          </c:val>
          <c:extLst>
            <c:ext xmlns:c15="http://schemas.microsoft.com/office/drawing/2012/chart" uri="{02D57815-91ED-43cb-92C2-25804820EDAC}">
              <c15:categoryFilterExceptions>
                <c15:categoryFilterException>
                  <c15:sqref>'Par poste - avec chauffage'!$C$9</c15:sqref>
                  <c15:dLbl>
                    <c:idx val="6"/>
                    <c:layout>
                      <c:manualLayout>
                        <c:x val="1.9437141023345299E-2"/>
                        <c:y val="6.0710750798382224E-3"/>
                      </c:manualLayout>
                    </c:layout>
                    <c:showLegendKey val="0"/>
                    <c:showVal val="0"/>
                    <c:showCatName val="0"/>
                    <c:showSerName val="0"/>
                    <c:showPercent val="1"/>
                    <c:showBubbleSize val="0"/>
                    <c:extLst>
                      <c:ext uri="{CE6537A1-D6FC-4f65-9D91-7224C49458BB}"/>
                      <c:ext xmlns:c16="http://schemas.microsoft.com/office/drawing/2014/chart" uri="{C3380CC4-5D6E-409C-BE32-E72D297353CC}">
                        <c16:uniqueId val="{00000016-7CFB-3F47-8B60-B30144450F1C}"/>
                      </c:ext>
                    </c:extLst>
                  </c15:dLbl>
                </c15:categoryFilterException>
              </c15:categoryFilterExceptions>
            </c:ext>
            <c:ext xmlns:c16="http://schemas.microsoft.com/office/drawing/2014/chart" uri="{C3380CC4-5D6E-409C-BE32-E72D297353CC}">
              <c16:uniqueId val="{00000000-6D45-46D3-8F2F-5CFEAAE8C92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060622588008544"/>
          <c:y val="0.14337216971814246"/>
          <c:w val="0.3833627268770789"/>
          <c:h val="0.795260235983770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des émissions liées à l'utilisation</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FC-4444-A174-FA399CB2644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0321-4C03-BBD5-5BA1A6279412}"/>
              </c:ext>
            </c:extLst>
          </c:dPt>
          <c:dLbls>
            <c:dLbl>
              <c:idx val="1"/>
              <c:layout>
                <c:manualLayout>
                  <c:x val="-1.7236070966856379E-2"/>
                  <c:y val="-0.1157407407407407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321-4C03-BBD5-5BA1A627941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3 - Utilisation'!$A$3:$A$4</c:f>
              <c:strCache>
                <c:ptCount val="2"/>
                <c:pt idx="0">
                  <c:v>AEP - Chauffage par le client</c:v>
                </c:pt>
                <c:pt idx="1">
                  <c:v>EU - Emissions liées à l'épandage</c:v>
                </c:pt>
              </c:strCache>
            </c:strRef>
          </c:cat>
          <c:val>
            <c:numRef>
              <c:f>'LOT 3 - Utilisation'!$B$3:$B$4</c:f>
              <c:numCache>
                <c:formatCode>_-* #\ ##0.00_-;\-* #\ ##0.00_-;_-* "-"??_-;_-@_-</c:formatCode>
                <c:ptCount val="2"/>
                <c:pt idx="0">
                  <c:v>697368.09655172401</c:v>
                </c:pt>
                <c:pt idx="1">
                  <c:v>25061.399999999998</c:v>
                </c:pt>
              </c:numCache>
            </c:numRef>
          </c:val>
          <c:extLst>
            <c:ext xmlns:c16="http://schemas.microsoft.com/office/drawing/2014/chart" uri="{C3380CC4-5D6E-409C-BE32-E72D297353CC}">
              <c16:uniqueId val="{00000000-0321-4C03-BBD5-5BA1A627941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1307405422634664"/>
          <c:y val="0.4179170312044328"/>
          <c:w val="0.37215217065920508"/>
          <c:h val="0.303054826480023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des émissions</a:t>
            </a:r>
            <a:r>
              <a:rPr lang="fr-FR" sz="1100" b="1" baseline="0"/>
              <a:t> liées aux Achats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2-171C-43BF-ACC9-BE94117A2F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FFA-4274-89E8-8E7977B5B0C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171C-43BF-ACC9-BE94117A2F72}"/>
              </c:ext>
            </c:extLst>
          </c:dPt>
          <c:dLbls>
            <c:dLbl>
              <c:idx val="0"/>
              <c:layout>
                <c:manualLayout>
                  <c:x val="1.3888888888888838E-2"/>
                  <c:y val="-0.1203703703703703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171C-43BF-ACC9-BE94117A2F72}"/>
                </c:ext>
              </c:extLst>
            </c:dLbl>
            <c:dLbl>
              <c:idx val="2"/>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171C-43BF-ACC9-BE94117A2F7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3 - Achats'!$A$2:$A$4</c:f>
              <c:strCache>
                <c:ptCount val="3"/>
                <c:pt idx="0">
                  <c:v>Réactifs - RAD</c:v>
                </c:pt>
                <c:pt idx="1">
                  <c:v>Travaux - RAD</c:v>
                </c:pt>
                <c:pt idx="2">
                  <c:v>Auters - Extracts</c:v>
                </c:pt>
              </c:strCache>
            </c:strRef>
          </c:cat>
          <c:val>
            <c:numRef>
              <c:f>'LOT 3 - Achats'!$B$2:$B$4</c:f>
              <c:numCache>
                <c:formatCode>_-* #\ ##0.00_-;\-* #\ ##0.00_-;_-* "-"??_-;_-@_-</c:formatCode>
                <c:ptCount val="3"/>
                <c:pt idx="0">
                  <c:v>21356.154999999995</c:v>
                </c:pt>
                <c:pt idx="1">
                  <c:v>426479.19</c:v>
                </c:pt>
                <c:pt idx="2">
                  <c:v>76511</c:v>
                </c:pt>
              </c:numCache>
            </c:numRef>
          </c:val>
          <c:extLst>
            <c:ext xmlns:c16="http://schemas.microsoft.com/office/drawing/2014/chart" uri="{C3380CC4-5D6E-409C-BE32-E72D297353CC}">
              <c16:uniqueId val="{00000000-171C-43BF-ACC9-BE94117A2F7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Zoom</a:t>
            </a:r>
            <a:r>
              <a:rPr lang="fr-FR" sz="1100" b="1" baseline="0"/>
              <a:t> sur les émissions liées aux travaux - RAD</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567C-4413-9E82-EAF908E80C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567C-4413-9E82-EAF908E80C1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567C-4413-9E82-EAF908E80C1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11-497B-BBA1-B0629981E95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1-567C-4413-9E82-EAF908E80C1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211-497B-BBA1-B0629981E953}"/>
              </c:ext>
            </c:extLst>
          </c:dPt>
          <c:dLbls>
            <c:dLbl>
              <c:idx val="0"/>
              <c:layout>
                <c:manualLayout>
                  <c:x val="8.9560569654586683E-3"/>
                  <c:y val="-0.143687244978433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67C-4413-9E82-EAF908E80C10}"/>
                </c:ext>
              </c:extLst>
            </c:dLbl>
            <c:dLbl>
              <c:idx val="1"/>
              <c:layout>
                <c:manualLayout>
                  <c:x val="5.373634179275226E-2"/>
                  <c:y val="-0.1056523860135541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67C-4413-9E82-EAF908E80C10}"/>
                </c:ext>
              </c:extLst>
            </c:dLbl>
            <c:dLbl>
              <c:idx val="2"/>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4-567C-4413-9E82-EAF908E80C10}"/>
                </c:ext>
              </c:extLst>
            </c:dLbl>
            <c:dLbl>
              <c:idx val="5"/>
              <c:layout>
                <c:manualLayout>
                  <c:x val="-4.0302256344564191E-2"/>
                  <c:y val="-0.13523505409734926"/>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accent6"/>
                        </a:solidFill>
                        <a:latin typeface="+mn-lt"/>
                        <a:ea typeface="+mn-ea"/>
                        <a:cs typeface="+mn-cs"/>
                      </a:defRPr>
                    </a:pPr>
                    <a:r>
                      <a:rPr lang="en-US">
                        <a:solidFill>
                          <a:schemeClr val="accent6"/>
                        </a:solidFill>
                      </a:rPr>
                      <a:t>&lt;1%</a:t>
                    </a:r>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E211-497B-BBA1-B0629981E953}"/>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3 - Achats'!$J$2:$J$7</c:f>
              <c:strCache>
                <c:ptCount val="6"/>
                <c:pt idx="0">
                  <c:v>Réparation fuite sur conduite</c:v>
                </c:pt>
                <c:pt idx="1">
                  <c:v>Réparation fuite sur branchement</c:v>
                </c:pt>
                <c:pt idx="2">
                  <c:v>Linéaire neuf ou renouvelé</c:v>
                </c:pt>
                <c:pt idx="3">
                  <c:v>Nouveaux branchements - EU</c:v>
                </c:pt>
                <c:pt idx="4">
                  <c:v>Nouveaux branchements - AEP</c:v>
                </c:pt>
                <c:pt idx="5">
                  <c:v>Curage préventif</c:v>
                </c:pt>
              </c:strCache>
            </c:strRef>
          </c:cat>
          <c:val>
            <c:numRef>
              <c:f>'LOT 3 - Achats'!$K$2:$K$7</c:f>
              <c:numCache>
                <c:formatCode>_-* #\ ##0.00_-;\-* #\ ##0.00_-;_-* "-"??_-;_-@_-</c:formatCode>
                <c:ptCount val="6"/>
                <c:pt idx="0">
                  <c:v>14400</c:v>
                </c:pt>
                <c:pt idx="1">
                  <c:v>1950</c:v>
                </c:pt>
                <c:pt idx="2">
                  <c:v>191224.51799999998</c:v>
                </c:pt>
                <c:pt idx="3">
                  <c:v>141120</c:v>
                </c:pt>
                <c:pt idx="4">
                  <c:v>77280</c:v>
                </c:pt>
                <c:pt idx="5">
                  <c:v>504.67200000000003</c:v>
                </c:pt>
              </c:numCache>
            </c:numRef>
          </c:val>
          <c:extLst>
            <c:ext xmlns:c16="http://schemas.microsoft.com/office/drawing/2014/chart" uri="{C3380CC4-5D6E-409C-BE32-E72D297353CC}">
              <c16:uniqueId val="{00000000-567C-4413-9E82-EAF908E80C1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58382313973617361"/>
          <c:y val="0.16716403705919661"/>
          <c:w val="0.40274277481563836"/>
          <c:h val="0.7734370268520114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spc="0" baseline="0">
                <a:solidFill>
                  <a:schemeClr val="tx1">
                    <a:lumMod val="65000"/>
                    <a:lumOff val="35000"/>
                  </a:schemeClr>
                </a:solidFill>
                <a:latin typeface="+mn-lt"/>
                <a:ea typeface="+mn-ea"/>
                <a:cs typeface="+mn-cs"/>
              </a:defRPr>
            </a:pPr>
            <a:r>
              <a:rPr lang="fr-FR" sz="1050" b="1"/>
              <a:t>Répartition</a:t>
            </a:r>
            <a:r>
              <a:rPr lang="fr-FR" sz="1050" b="1" baseline="0"/>
              <a:t> des émisisons liées à la génération de déchets</a:t>
            </a:r>
            <a:endParaRPr lang="fr-FR" sz="1050" b="1"/>
          </a:p>
        </c:rich>
      </c:tx>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41B-48AB-9F75-B7CC0BB77EF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41B-48AB-9F75-B7CC0BB77EF6}"/>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3 - Déchets'!$A$3:$A$4</c:f>
              <c:strCache>
                <c:ptCount val="2"/>
                <c:pt idx="0">
                  <c:v>Refus de dégrillage - Incinération</c:v>
                </c:pt>
                <c:pt idx="1">
                  <c:v>Refus de dégrillage - Stockage</c:v>
                </c:pt>
              </c:strCache>
            </c:strRef>
          </c:cat>
          <c:val>
            <c:numRef>
              <c:f>'LOT 3 - Déchets'!$B$3:$B$4</c:f>
              <c:numCache>
                <c:formatCode>_-* #\ ##0.00_-;\-* #\ ##0.00_-;_-* "-"??_-;_-@_-</c:formatCode>
                <c:ptCount val="2"/>
                <c:pt idx="0">
                  <c:v>11026.125</c:v>
                </c:pt>
                <c:pt idx="1">
                  <c:v>289712.71999999991</c:v>
                </c:pt>
              </c:numCache>
            </c:numRef>
          </c:val>
          <c:extLst>
            <c:ext xmlns:c16="http://schemas.microsoft.com/office/drawing/2014/chart" uri="{C3380CC4-5D6E-409C-BE32-E72D297353CC}">
              <c16:uniqueId val="{00000000-E1FC-4A7E-BFD8-C570D2A7D3D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 des émissions liées à l'utilisation</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22C-4ADC-AB6F-A520DD09CBD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1916-45BE-9EBA-DAADA94B925F}"/>
              </c:ext>
            </c:extLst>
          </c:dPt>
          <c:dLbls>
            <c:dLbl>
              <c:idx val="1"/>
              <c:layout>
                <c:manualLayout>
                  <c:x val="-2.7777777777777779E-3"/>
                  <c:y val="-0.12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916-45BE-9EBA-DAADA94B925F}"/>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1 - Utilisation'!$A$3:$A$4</c:f>
              <c:strCache>
                <c:ptCount val="2"/>
                <c:pt idx="0">
                  <c:v>AEP - Chauffage par le client</c:v>
                </c:pt>
                <c:pt idx="1">
                  <c:v>EU - Emissions liées à l'épandage</c:v>
                </c:pt>
              </c:strCache>
            </c:strRef>
          </c:cat>
          <c:val>
            <c:numRef>
              <c:f>'LOT 1 - Utilisation'!$B$3:$B$4</c:f>
              <c:numCache>
                <c:formatCode>_-* #\ ##0.00_-;\-* #\ ##0.00_-;_-* "-"??_-;_-@_-</c:formatCode>
                <c:ptCount val="2"/>
                <c:pt idx="0">
                  <c:v>930878.74068965507</c:v>
                </c:pt>
                <c:pt idx="1">
                  <c:v>7889.7</c:v>
                </c:pt>
              </c:numCache>
            </c:numRef>
          </c:val>
          <c:extLst>
            <c:ext xmlns:c16="http://schemas.microsoft.com/office/drawing/2014/chart" uri="{C3380CC4-5D6E-409C-BE32-E72D297353CC}">
              <c16:uniqueId val="{00000000-1916-45BE-9EBA-DAADA94B925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7840605686121813"/>
          <c:y val="0.40750036453776611"/>
          <c:w val="0.30579927547662278"/>
          <c:h val="0.303054826480023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Répartion des émissions</a:t>
            </a:r>
            <a:r>
              <a:rPr lang="fr-FR" sz="1100" b="1" baseline="0"/>
              <a:t> liées aux achats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3DC-43F9-81BB-E67E36F4EA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3DC-43F9-81BB-E67E36F4EA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A593-4AFD-8919-F7BB314969B7}"/>
              </c:ext>
            </c:extLst>
          </c:dPt>
          <c:dLbls>
            <c:dLbl>
              <c:idx val="2"/>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A593-4AFD-8919-F7BB314969B7}"/>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1 - Achats'!$A$3:$A$5</c:f>
              <c:strCache>
                <c:ptCount val="3"/>
                <c:pt idx="0">
                  <c:v>Réactifs - RAD</c:v>
                </c:pt>
                <c:pt idx="1">
                  <c:v>Travaux - RAD</c:v>
                </c:pt>
                <c:pt idx="2">
                  <c:v>Autres - Extracts</c:v>
                </c:pt>
              </c:strCache>
            </c:strRef>
          </c:cat>
          <c:val>
            <c:numRef>
              <c:f>'LOT 1 - Achats'!$B$3:$B$5</c:f>
              <c:numCache>
                <c:formatCode>_-* #\ ##0.00_-;\-* #\ ##0.00_-;_-* "-"??_-;_-@_-</c:formatCode>
                <c:ptCount val="3"/>
                <c:pt idx="0">
                  <c:v>108631.02402</c:v>
                </c:pt>
                <c:pt idx="1">
                  <c:v>571020</c:v>
                </c:pt>
                <c:pt idx="2">
                  <c:v>162813.14097000004</c:v>
                </c:pt>
              </c:numCache>
            </c:numRef>
          </c:val>
          <c:extLst>
            <c:ext xmlns:c16="http://schemas.microsoft.com/office/drawing/2014/chart" uri="{C3380CC4-5D6E-409C-BE32-E72D297353CC}">
              <c16:uniqueId val="{00000000-A593-4AFD-8919-F7BB314969B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Zoom sur</a:t>
            </a:r>
            <a:r>
              <a:rPr lang="fr-FR" sz="1100" b="1" baseline="0"/>
              <a:t> les émissions des travaux - RAD</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2379543400804882"/>
          <c:y val="0.21143311933931855"/>
          <c:w val="0.3443442192469483"/>
          <c:h val="0.68593374304525057"/>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31-4ABB-AD91-2F11AE3103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2AB-4ED1-81AE-992EB3CA7EB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62AB-4ED1-81AE-992EB3CA7EB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031-4ABB-AD91-2F11AE31036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031-4ABB-AD91-2F11AE31036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3-62AB-4ED1-81AE-992EB3CA7EBA}"/>
              </c:ext>
            </c:extLst>
          </c:dPt>
          <c:dLbls>
            <c:dLbl>
              <c:idx val="1"/>
              <c:layout>
                <c:manualLayout>
                  <c:x val="3.8554207114010156E-2"/>
                  <c:y val="-0.11519998064882218"/>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r>
                      <a:rPr lang="en-US">
                        <a:solidFill>
                          <a:schemeClr val="accent2"/>
                        </a:solidFill>
                      </a:rPr>
                      <a:t>&lt;1%</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62AB-4ED1-81AE-992EB3CA7EBA}"/>
                </c:ext>
              </c:extLst>
            </c:dLbl>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2-62AB-4ED1-81AE-992EB3CA7EBA}"/>
                </c:ext>
              </c:extLst>
            </c:dLbl>
            <c:dLbl>
              <c:idx val="5"/>
              <c:layout>
                <c:manualLayout>
                  <c:x val="-3.4270406323564581E-2"/>
                  <c:y val="-0.13743227987491521"/>
                </c:manualLayout>
              </c:layout>
              <c:tx>
                <c:rich>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r>
                      <a:rPr lang="en-US">
                        <a:solidFill>
                          <a:schemeClr val="accent6"/>
                        </a:solidFill>
                      </a:rPr>
                      <a:t>&lt;1%</a:t>
                    </a:r>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62AB-4ED1-81AE-992EB3CA7EBA}"/>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1 - Achats'!$A$14:$A$19</c:f>
              <c:strCache>
                <c:ptCount val="6"/>
                <c:pt idx="0">
                  <c:v>Réparation fuite sur conduite</c:v>
                </c:pt>
                <c:pt idx="1">
                  <c:v>Réparation fuite sur branchement</c:v>
                </c:pt>
                <c:pt idx="2">
                  <c:v>Linéaire neuf ou renouvelé</c:v>
                </c:pt>
                <c:pt idx="3">
                  <c:v>Nouveaux branchements AEP</c:v>
                </c:pt>
                <c:pt idx="4">
                  <c:v>Nouveaux branchements EU</c:v>
                </c:pt>
                <c:pt idx="5">
                  <c:v>Curage préventif</c:v>
                </c:pt>
              </c:strCache>
            </c:strRef>
          </c:cat>
          <c:val>
            <c:numRef>
              <c:f>'LOT 1 - Achats'!$B$14:$B$19</c:f>
              <c:numCache>
                <c:formatCode>_-* #\ ##0.00_-;\-* #\ ##0.00_-;_-* "-"??_-;_-@_-</c:formatCode>
                <c:ptCount val="6"/>
                <c:pt idx="0">
                  <c:v>34800</c:v>
                </c:pt>
                <c:pt idx="1">
                  <c:v>1950</c:v>
                </c:pt>
                <c:pt idx="2">
                  <c:v>97470</c:v>
                </c:pt>
                <c:pt idx="3">
                  <c:v>208320</c:v>
                </c:pt>
                <c:pt idx="4">
                  <c:v>228480</c:v>
                </c:pt>
                <c:pt idx="5">
                  <c:v>358.80599999999998</c:v>
                </c:pt>
              </c:numCache>
            </c:numRef>
          </c:val>
          <c:extLst>
            <c:ext xmlns:c16="http://schemas.microsoft.com/office/drawing/2014/chart" uri="{C3380CC4-5D6E-409C-BE32-E72D297353CC}">
              <c16:uniqueId val="{00000000-62AB-4ED1-81AE-992EB3CA7EB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5640902134715754"/>
          <c:y val="0.16396898033066998"/>
          <c:w val="0.42305838415708796"/>
          <c:h val="0.780862021062547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des émissions liées aux déchets directs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C6-465C-B8AC-F433483DAF5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C6-465C-B8AC-F433483DAF5E}"/>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1 - Déchets'!$A$3:$A$4</c:f>
              <c:strCache>
                <c:ptCount val="2"/>
                <c:pt idx="0">
                  <c:v>Refus de dégrillage - Incinération</c:v>
                </c:pt>
                <c:pt idx="1">
                  <c:v>Refus de dégrillage - Stockage</c:v>
                </c:pt>
              </c:strCache>
            </c:strRef>
          </c:cat>
          <c:val>
            <c:numRef>
              <c:f>'LOT 1 - Déchets'!$B$3:$B$4</c:f>
              <c:numCache>
                <c:formatCode>General</c:formatCode>
                <c:ptCount val="2"/>
                <c:pt idx="0">
                  <c:v>48.6</c:v>
                </c:pt>
                <c:pt idx="1">
                  <c:v>83.04</c:v>
                </c:pt>
              </c:numCache>
            </c:numRef>
          </c:val>
          <c:extLst>
            <c:ext xmlns:c16="http://schemas.microsoft.com/office/drawing/2014/chart" uri="{C3380CC4-5D6E-409C-BE32-E72D297353CC}">
              <c16:uniqueId val="{00000000-5AA6-4FAE-BFB4-D4C93A9238C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100" b="1" i="0" u="none" strike="noStrike" kern="1200" spc="0" baseline="0">
                <a:solidFill>
                  <a:sysClr val="windowText" lastClr="000000">
                    <a:lumMod val="65000"/>
                    <a:lumOff val="35000"/>
                  </a:sysClr>
                </a:solidFill>
                <a:latin typeface="+mn-lt"/>
                <a:ea typeface="+mn-ea"/>
                <a:cs typeface="+mn-cs"/>
              </a:defRPr>
            </a:pPr>
            <a:r>
              <a:rPr lang="fr-FR" sz="1100" b="1" i="0" u="none" strike="noStrike" kern="1200" spc="0" baseline="0">
                <a:solidFill>
                  <a:sysClr val="windowText" lastClr="000000">
                    <a:lumMod val="65000"/>
                    <a:lumOff val="35000"/>
                  </a:sysClr>
                </a:solidFill>
                <a:latin typeface="+mn-lt"/>
                <a:ea typeface="+mn-ea"/>
                <a:cs typeface="+mn-cs"/>
              </a:rPr>
              <a:t>Répartition du traitement des déchets selon leur poids</a:t>
            </a:r>
          </a:p>
        </c:rich>
      </c:tx>
      <c:overlay val="0"/>
      <c:spPr>
        <a:noFill/>
        <a:ln>
          <a:noFill/>
        </a:ln>
        <a:effectLst/>
      </c:spPr>
      <c:txPr>
        <a:bodyPr rot="0" spcFirstLastPara="1" vertOverflow="ellipsis" vert="horz" wrap="square" anchor="ctr" anchorCtr="1"/>
        <a:lstStyle/>
        <a:p>
          <a:pPr algn="ctr" rtl="0">
            <a:defRPr lang="fr-FR" sz="110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48-4C36-9F8B-53CA0BD52B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648-4C36-9F8B-53CA0BD52BBE}"/>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1 - Déchets'!$A$3:$A$4</c:f>
              <c:strCache>
                <c:ptCount val="2"/>
                <c:pt idx="0">
                  <c:v>Refus de dégrillage - Incinération</c:v>
                </c:pt>
                <c:pt idx="1">
                  <c:v>Refus de dégrillage - Stockage</c:v>
                </c:pt>
              </c:strCache>
            </c:strRef>
          </c:cat>
          <c:val>
            <c:numRef>
              <c:f>'LOT 1 - Déchets'!$C$3:$C$4</c:f>
              <c:numCache>
                <c:formatCode>0%</c:formatCode>
                <c:ptCount val="2"/>
                <c:pt idx="0">
                  <c:v>0.9</c:v>
                </c:pt>
                <c:pt idx="1">
                  <c:v>0.1</c:v>
                </c:pt>
              </c:numCache>
            </c:numRef>
          </c:val>
          <c:extLst>
            <c:ext xmlns:c16="http://schemas.microsoft.com/office/drawing/2014/chart" uri="{C3380CC4-5D6E-409C-BE32-E72D297353CC}">
              <c16:uniqueId val="{00000000-850F-464D-9333-DB1BCE116FD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5994536909816748"/>
          <c:y val="0.40750036453776611"/>
          <c:w val="0.32567907071247504"/>
          <c:h val="0.303054826480023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des émissions liées à l'utilisation</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7C4-4A56-BC6D-B968D274018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7C4-4A56-BC6D-B968D274018B}"/>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2 - Utilisation '!$A$3:$A$4</c:f>
              <c:strCache>
                <c:ptCount val="2"/>
                <c:pt idx="0">
                  <c:v>AEP - Chauffage par le client</c:v>
                </c:pt>
                <c:pt idx="1">
                  <c:v>EU - Epandage des boues</c:v>
                </c:pt>
              </c:strCache>
            </c:strRef>
          </c:cat>
          <c:val>
            <c:numRef>
              <c:f>'LOT 2 - Utilisation '!$B$3:$B$4</c:f>
              <c:numCache>
                <c:formatCode>_-* #\ ##0.00_-;\-* #\ ##0.00_-;_-* "-"??_-;_-@_-</c:formatCode>
                <c:ptCount val="2"/>
                <c:pt idx="0">
                  <c:v>120202.83994917982</c:v>
                </c:pt>
                <c:pt idx="1">
                  <c:v>14335.935657760689</c:v>
                </c:pt>
              </c:numCache>
            </c:numRef>
          </c:val>
          <c:extLst>
            <c:ext xmlns:c16="http://schemas.microsoft.com/office/drawing/2014/chart" uri="{C3380CC4-5D6E-409C-BE32-E72D297353CC}">
              <c16:uniqueId val="{00000000-57B9-4D25-A346-5E3E3DE4689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58294356955380577"/>
          <c:y val="0.40750036453776611"/>
          <c:w val="0.40038976377952756"/>
          <c:h val="0.303054826480023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des émissions liées aux Achats</a:t>
            </a:r>
            <a:endParaRPr lang="fr-FR" sz="1100" b="1"/>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892-42FC-A1E7-14C1921EB32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54D-4340-80C1-421DB8F7669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6892-42FC-A1E7-14C1921EB325}"/>
              </c:ext>
            </c:extLst>
          </c:dPt>
          <c:dLbls>
            <c:dLbl>
              <c:idx val="0"/>
              <c:layout>
                <c:manualLayout>
                  <c:x val="1.1111111111111112E-2"/>
                  <c:y val="-0.125"/>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892-42FC-A1E7-14C1921EB325}"/>
                </c:ext>
              </c:extLst>
            </c:dLbl>
            <c:dLbl>
              <c:idx val="2"/>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6892-42FC-A1E7-14C1921EB325}"/>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2 - ACHATS'!$A$3:$A$5</c:f>
              <c:strCache>
                <c:ptCount val="3"/>
                <c:pt idx="0">
                  <c:v>Réactifs - RAD</c:v>
                </c:pt>
                <c:pt idx="1">
                  <c:v>Travaux - RAD</c:v>
                </c:pt>
                <c:pt idx="2">
                  <c:v>Autres - Extracts</c:v>
                </c:pt>
              </c:strCache>
            </c:strRef>
          </c:cat>
          <c:val>
            <c:numRef>
              <c:f>'LOT 2 - ACHATS'!$B$3:$B$5</c:f>
              <c:numCache>
                <c:formatCode>_-* #\ ##0.00_-;\-* #\ ##0.00_-;_-* "-"??_-;_-@_-</c:formatCode>
                <c:ptCount val="3"/>
                <c:pt idx="0">
                  <c:v>13575.984</c:v>
                </c:pt>
                <c:pt idx="1">
                  <c:v>669322.67099999997</c:v>
                </c:pt>
                <c:pt idx="2">
                  <c:v>89521.690429999988</c:v>
                </c:pt>
              </c:numCache>
            </c:numRef>
          </c:val>
          <c:extLst>
            <c:ext xmlns:c16="http://schemas.microsoft.com/office/drawing/2014/chart" uri="{C3380CC4-5D6E-409C-BE32-E72D297353CC}">
              <c16:uniqueId val="{00000000-6892-42FC-A1E7-14C1921EB32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spc="0" baseline="0">
                <a:solidFill>
                  <a:schemeClr val="tx1">
                    <a:lumMod val="65000"/>
                    <a:lumOff val="35000"/>
                  </a:schemeClr>
                </a:solidFill>
                <a:latin typeface="+mn-lt"/>
                <a:ea typeface="+mn-ea"/>
                <a:cs typeface="+mn-cs"/>
              </a:defRPr>
            </a:pPr>
            <a:r>
              <a:rPr lang="en-US" sz="1050" b="1"/>
              <a:t>Répartition des émissions liées aux travaux -</a:t>
            </a:r>
            <a:r>
              <a:rPr lang="en-US" sz="1050" b="1" baseline="0"/>
              <a:t> RAD</a:t>
            </a:r>
            <a:endParaRPr lang="en-US" sz="1050" b="1"/>
          </a:p>
        </c:rich>
      </c:tx>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'LOT 2 - ACHATS'!$K$1</c:f>
              <c:strCache>
                <c:ptCount val="1"/>
                <c:pt idx="0">
                  <c:v>kgCO2e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2567-4D56-BFBA-2BBDCE71F4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67-4D56-BFBA-2BBDCE71F4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2567-4D56-BFBA-2BBDCE71F4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8D7-40E4-9D6F-7AE5486B8D6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2-2567-4D56-BFBA-2BBDCE71F4B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8D7-40E4-9D6F-7AE5486B8D6D}"/>
              </c:ext>
            </c:extLst>
          </c:dPt>
          <c:dLbls>
            <c:dLbl>
              <c:idx val="0"/>
              <c:layout>
                <c:manualLayout>
                  <c:x val="4.7509341477506416E-3"/>
                  <c:y val="-0.1112442863211864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567-4D56-BFBA-2BBDCE71F4B8}"/>
                </c:ext>
              </c:extLst>
            </c:dLbl>
            <c:dLbl>
              <c:idx val="1"/>
              <c:layout>
                <c:manualLayout>
                  <c:x val="2.8505604886504023E-2"/>
                  <c:y val="-0.111244286321186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567-4D56-BFBA-2BBDCE71F4B8}"/>
                </c:ext>
              </c:extLst>
            </c:dLbl>
            <c:dLbl>
              <c:idx val="2"/>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lumMod val="50000"/>
                        </a:schemeClr>
                      </a:solidFill>
                      <a:latin typeface="+mn-lt"/>
                      <a:ea typeface="+mn-ea"/>
                      <a:cs typeface="+mn-cs"/>
                    </a:defRPr>
                  </a:pPr>
                  <a:endParaRPr lang="fr-FR"/>
                </a:p>
              </c:txPr>
              <c:showLegendKey val="0"/>
              <c:showVal val="0"/>
              <c:showCatName val="0"/>
              <c:showSerName val="0"/>
              <c:showPercent val="1"/>
              <c:showBubbleSize val="0"/>
              <c:extLst>
                <c:ext xmlns:c16="http://schemas.microsoft.com/office/drawing/2014/chart" uri="{C3380CC4-5D6E-409C-BE32-E72D297353CC}">
                  <c16:uniqueId val="{00000001-2567-4D56-BFBA-2BBDCE71F4B8}"/>
                </c:ext>
              </c:extLst>
            </c:dLbl>
            <c:dLbl>
              <c:idx val="5"/>
              <c:layout>
                <c:manualLayout>
                  <c:x val="-3.0881036064199844E-2"/>
                  <c:y val="-0.12629714612236204"/>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r>
                      <a:rPr lang="en-US">
                        <a:solidFill>
                          <a:schemeClr val="accent6"/>
                        </a:solidFill>
                      </a:rPr>
                      <a:t>&lt;1%</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B8D7-40E4-9D6F-7AE5486B8D6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2 - ACHATS'!$J$2:$J$7</c:f>
              <c:strCache>
                <c:ptCount val="6"/>
                <c:pt idx="0">
                  <c:v>Réparation fuite sur conduite</c:v>
                </c:pt>
                <c:pt idx="1">
                  <c:v>Réparation fuite sur branchement</c:v>
                </c:pt>
                <c:pt idx="2">
                  <c:v>Renouvellement du linéaire</c:v>
                </c:pt>
                <c:pt idx="3">
                  <c:v>Nouveaux branchements - EU</c:v>
                </c:pt>
                <c:pt idx="4">
                  <c:v>Nouveaux branchements - AEP</c:v>
                </c:pt>
                <c:pt idx="5">
                  <c:v>Opérations de curage</c:v>
                </c:pt>
              </c:strCache>
            </c:strRef>
          </c:cat>
          <c:val>
            <c:numRef>
              <c:f>'LOT 2 - ACHATS'!$K$2:$K$7</c:f>
              <c:numCache>
                <c:formatCode>_-* #\ ##0.00_-;\-* #\ ##0.00_-;_-* "-"??_-;_-@_-</c:formatCode>
                <c:ptCount val="6"/>
                <c:pt idx="0">
                  <c:v>15600</c:v>
                </c:pt>
                <c:pt idx="1">
                  <c:v>2340</c:v>
                </c:pt>
                <c:pt idx="2">
                  <c:v>52470</c:v>
                </c:pt>
                <c:pt idx="3">
                  <c:v>288960</c:v>
                </c:pt>
                <c:pt idx="4">
                  <c:v>309120</c:v>
                </c:pt>
                <c:pt idx="5">
                  <c:v>832.67100000000005</c:v>
                </c:pt>
              </c:numCache>
            </c:numRef>
          </c:val>
          <c:extLst>
            <c:ext xmlns:c16="http://schemas.microsoft.com/office/drawing/2014/chart" uri="{C3380CC4-5D6E-409C-BE32-E72D297353CC}">
              <c16:uniqueId val="{00000000-2567-4D56-BFBA-2BBDCE71F4B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1124209432399912"/>
          <c:y val="0.19025510271117801"/>
          <c:w val="0.37450510323274883"/>
          <c:h val="0.758545152479127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fr-FR" sz="1100" b="1"/>
              <a:t>Répartition</a:t>
            </a:r>
            <a:r>
              <a:rPr lang="fr-FR" sz="1100" b="1" baseline="0"/>
              <a:t> des émissions liées à l'épandage des boues</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BF-4AE7-A266-7E97AE9B510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0C-4FE5-AC62-3A950D1ACA2B}"/>
              </c:ext>
            </c:extLst>
          </c:dPt>
          <c:dLbls>
            <c:dLbl>
              <c:idx val="0"/>
              <c:layout>
                <c:manualLayout>
                  <c:x val="8.3333333333333332E-3"/>
                  <c:y val="-0.12037037037037039"/>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EBF-4AE7-A266-7E97AE9B5108}"/>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2 - Hors Energie'!$A$3:$A$4</c:f>
              <c:strCache>
                <c:ptCount val="2"/>
                <c:pt idx="0">
                  <c:v>CH4</c:v>
                </c:pt>
                <c:pt idx="1">
                  <c:v>N2O</c:v>
                </c:pt>
              </c:strCache>
            </c:strRef>
          </c:cat>
          <c:val>
            <c:numRef>
              <c:f>'LOT 2 - Hors Energie'!$B$3:$B$4</c:f>
              <c:numCache>
                <c:formatCode>_-* #\ ##0.00_-;\-* #\ ##0.00_-;_-* "-"??_-;_-@_-</c:formatCode>
                <c:ptCount val="2"/>
                <c:pt idx="0">
                  <c:v>1098.30252</c:v>
                </c:pt>
                <c:pt idx="1">
                  <c:v>155213.79298424997</c:v>
                </c:pt>
              </c:numCache>
            </c:numRef>
          </c:val>
          <c:extLst>
            <c:ext xmlns:c16="http://schemas.microsoft.com/office/drawing/2014/chart" uri="{C3380CC4-5D6E-409C-BE32-E72D297353CC}">
              <c16:uniqueId val="{00000000-BEBF-4AE7-A266-7E97AE9B510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FR" sz="1100" b="1" i="0" u="none" strike="noStrike" kern="1200" spc="0" baseline="0">
                <a:solidFill>
                  <a:sysClr val="windowText" lastClr="000000">
                    <a:lumMod val="65000"/>
                    <a:lumOff val="35000"/>
                  </a:sysClr>
                </a:solidFill>
                <a:latin typeface="+mn-lt"/>
                <a:ea typeface="+mn-ea"/>
                <a:cs typeface="+mn-cs"/>
              </a:defRPr>
            </a:pPr>
            <a:r>
              <a:rPr lang="fr-FR" sz="1100" b="1" i="0" u="none" strike="noStrike" kern="1200" spc="0" baseline="0">
                <a:solidFill>
                  <a:sysClr val="windowText" lastClr="000000">
                    <a:lumMod val="65000"/>
                    <a:lumOff val="35000"/>
                  </a:sysClr>
                </a:solidFill>
                <a:latin typeface="+mn-lt"/>
                <a:ea typeface="+mn-ea"/>
                <a:cs typeface="+mn-cs"/>
              </a:rPr>
              <a:t>Répartition des quantités (kg) émises dans le milieu</a:t>
            </a:r>
          </a:p>
        </c:rich>
      </c:tx>
      <c:overlay val="0"/>
      <c:spPr>
        <a:noFill/>
        <a:ln>
          <a:noFill/>
        </a:ln>
        <a:effectLst/>
      </c:spPr>
      <c:txPr>
        <a:bodyPr rot="0" spcFirstLastPara="1" vertOverflow="ellipsis" vert="horz" wrap="square" anchor="ctr" anchorCtr="1"/>
        <a:lstStyle/>
        <a:p>
          <a:pPr algn="ctr" rtl="0">
            <a:defRPr lang="fr-FR" sz="110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E21-4898-9C1D-C2D3964CAB3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E21-4898-9C1D-C2D3964CAB3C}"/>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'LOT 2 - Hors Energie'!$A$6:$A$7</c:f>
              <c:strCache>
                <c:ptCount val="2"/>
                <c:pt idx="0">
                  <c:v>CH4</c:v>
                </c:pt>
                <c:pt idx="1">
                  <c:v>N2O</c:v>
                </c:pt>
              </c:strCache>
            </c:strRef>
          </c:cat>
          <c:val>
            <c:numRef>
              <c:f>'LOT 2 - Hors Energie'!$B$6:$B$7</c:f>
              <c:numCache>
                <c:formatCode>General</c:formatCode>
                <c:ptCount val="2"/>
                <c:pt idx="0">
                  <c:v>568.54869224999993</c:v>
                </c:pt>
                <c:pt idx="1">
                  <c:v>39.225090000000002</c:v>
                </c:pt>
              </c:numCache>
            </c:numRef>
          </c:val>
          <c:extLst>
            <c:ext xmlns:c16="http://schemas.microsoft.com/office/drawing/2014/chart" uri="{C3380CC4-5D6E-409C-BE32-E72D297353CC}">
              <c16:uniqueId val="{00000000-C46C-4CD6-8674-062A4E8510C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9">
  <a:schemeClr val="accent6"/>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withinLinear" id="19">
  <a:schemeClr val="accent6"/>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withinLinear" id="19">
  <a:schemeClr val="accent6"/>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withinLinear" id="19">
  <a:schemeClr val="accent6"/>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chart" Target="../charts/chart26.xml"/><Relationship Id="rId4" Type="http://schemas.openxmlformats.org/officeDocument/2006/relationships/chart" Target="../charts/chart20.xml"/><Relationship Id="rId9" Type="http://schemas.openxmlformats.org/officeDocument/2006/relationships/chart" Target="../charts/chart25.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4.xml"/><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10" Type="http://schemas.openxmlformats.org/officeDocument/2006/relationships/chart" Target="../charts/chart46.xml"/><Relationship Id="rId4" Type="http://schemas.openxmlformats.org/officeDocument/2006/relationships/chart" Target="../charts/chart40.xml"/><Relationship Id="rId9" Type="http://schemas.openxmlformats.org/officeDocument/2006/relationships/chart" Target="../charts/chart4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4" Type="http://schemas.openxmlformats.org/officeDocument/2006/relationships/chart" Target="../charts/chart5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drawing1.xml><?xml version="1.0" encoding="utf-8"?>
<xdr:wsDr xmlns:xdr="http://schemas.openxmlformats.org/drawingml/2006/spreadsheetDrawing" xmlns:a="http://schemas.openxmlformats.org/drawingml/2006/main">
  <xdr:twoCellAnchor>
    <xdr:from>
      <xdr:col>3</xdr:col>
      <xdr:colOff>29358</xdr:colOff>
      <xdr:row>7</xdr:row>
      <xdr:rowOff>115665</xdr:rowOff>
    </xdr:from>
    <xdr:to>
      <xdr:col>10</xdr:col>
      <xdr:colOff>249252</xdr:colOff>
      <xdr:row>11</xdr:row>
      <xdr:rowOff>201776</xdr:rowOff>
    </xdr:to>
    <xdr:sp macro="[0]!consolider_data_contrat" textlink="">
      <xdr:nvSpPr>
        <xdr:cNvPr id="3" name="Rectangle : coins arrondis 1">
          <a:extLst>
            <a:ext uri="{FF2B5EF4-FFF2-40B4-BE49-F238E27FC236}">
              <a16:creationId xmlns:a16="http://schemas.microsoft.com/office/drawing/2014/main" id="{1E112359-EE6C-AFF1-712B-AD80B929CF71}"/>
            </a:ext>
          </a:extLst>
        </xdr:cNvPr>
        <xdr:cNvSpPr/>
      </xdr:nvSpPr>
      <xdr:spPr>
        <a:xfrm>
          <a:off x="2877956" y="2631927"/>
          <a:ext cx="6866623" cy="128489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400"/>
            <a:t>Consolider les données du contrat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909155</xdr:colOff>
      <xdr:row>2</xdr:row>
      <xdr:rowOff>0</xdr:rowOff>
    </xdr:from>
    <xdr:to>
      <xdr:col>13</xdr:col>
      <xdr:colOff>670549</xdr:colOff>
      <xdr:row>14</xdr:row>
      <xdr:rowOff>150235</xdr:rowOff>
    </xdr:to>
    <xdr:graphicFrame macro="">
      <xdr:nvGraphicFramePr>
        <xdr:cNvPr id="2" name="Graphique 1">
          <a:extLst>
            <a:ext uri="{FF2B5EF4-FFF2-40B4-BE49-F238E27FC236}">
              <a16:creationId xmlns:a16="http://schemas.microsoft.com/office/drawing/2014/main" id="{3A9B7A6B-78B3-CA2E-2BEC-BE4EE692D7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819583</xdr:colOff>
      <xdr:row>2</xdr:row>
      <xdr:rowOff>0</xdr:rowOff>
    </xdr:from>
    <xdr:to>
      <xdr:col>18</xdr:col>
      <xdr:colOff>580977</xdr:colOff>
      <xdr:row>14</xdr:row>
      <xdr:rowOff>150235</xdr:rowOff>
    </xdr:to>
    <xdr:graphicFrame macro="">
      <xdr:nvGraphicFramePr>
        <xdr:cNvPr id="3" name="Graphique 2">
          <a:extLst>
            <a:ext uri="{FF2B5EF4-FFF2-40B4-BE49-F238E27FC236}">
              <a16:creationId xmlns:a16="http://schemas.microsoft.com/office/drawing/2014/main" id="{E51C2C19-E2C5-E305-748E-932CEBDD62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793699</xdr:colOff>
      <xdr:row>2</xdr:row>
      <xdr:rowOff>0</xdr:rowOff>
    </xdr:from>
    <xdr:to>
      <xdr:col>23</xdr:col>
      <xdr:colOff>555093</xdr:colOff>
      <xdr:row>14</xdr:row>
      <xdr:rowOff>138785</xdr:rowOff>
    </xdr:to>
    <xdr:graphicFrame macro="">
      <xdr:nvGraphicFramePr>
        <xdr:cNvPr id="4" name="Graphique 3">
          <a:extLst>
            <a:ext uri="{FF2B5EF4-FFF2-40B4-BE49-F238E27FC236}">
              <a16:creationId xmlns:a16="http://schemas.microsoft.com/office/drawing/2014/main" id="{404E962E-4288-177D-F605-8B267C844A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823515</xdr:colOff>
      <xdr:row>16</xdr:row>
      <xdr:rowOff>134697</xdr:rowOff>
    </xdr:from>
    <xdr:to>
      <xdr:col>18</xdr:col>
      <xdr:colOff>584909</xdr:colOff>
      <xdr:row>27</xdr:row>
      <xdr:rowOff>111260</xdr:rowOff>
    </xdr:to>
    <xdr:graphicFrame macro="">
      <xdr:nvGraphicFramePr>
        <xdr:cNvPr id="5" name="Graphique 4">
          <a:extLst>
            <a:ext uri="{FF2B5EF4-FFF2-40B4-BE49-F238E27FC236}">
              <a16:creationId xmlns:a16="http://schemas.microsoft.com/office/drawing/2014/main" id="{80F4E495-5932-DB82-660C-394C4A9EEE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736070</xdr:colOff>
      <xdr:row>2</xdr:row>
      <xdr:rowOff>0</xdr:rowOff>
    </xdr:from>
    <xdr:to>
      <xdr:col>28</xdr:col>
      <xdr:colOff>497464</xdr:colOff>
      <xdr:row>14</xdr:row>
      <xdr:rowOff>158412</xdr:rowOff>
    </xdr:to>
    <xdr:graphicFrame macro="">
      <xdr:nvGraphicFramePr>
        <xdr:cNvPr id="6" name="Graphique 5">
          <a:extLst>
            <a:ext uri="{FF2B5EF4-FFF2-40B4-BE49-F238E27FC236}">
              <a16:creationId xmlns:a16="http://schemas.microsoft.com/office/drawing/2014/main" id="{4B5E3FAF-09CC-EC6E-4B40-356DC1D3E6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904846</xdr:colOff>
      <xdr:row>16</xdr:row>
      <xdr:rowOff>155918</xdr:rowOff>
    </xdr:from>
    <xdr:to>
      <xdr:col>13</xdr:col>
      <xdr:colOff>666240</xdr:colOff>
      <xdr:row>27</xdr:row>
      <xdr:rowOff>128209</xdr:rowOff>
    </xdr:to>
    <xdr:graphicFrame macro="">
      <xdr:nvGraphicFramePr>
        <xdr:cNvPr id="7" name="Graphique 6">
          <a:extLst>
            <a:ext uri="{FF2B5EF4-FFF2-40B4-BE49-F238E27FC236}">
              <a16:creationId xmlns:a16="http://schemas.microsoft.com/office/drawing/2014/main" id="{96662564-AC9A-02A5-B1DC-F83BFB5E1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870767</xdr:colOff>
      <xdr:row>31</xdr:row>
      <xdr:rowOff>83506</xdr:rowOff>
    </xdr:from>
    <xdr:to>
      <xdr:col>13</xdr:col>
      <xdr:colOff>632161</xdr:colOff>
      <xdr:row>44</xdr:row>
      <xdr:rowOff>75039</xdr:rowOff>
    </xdr:to>
    <xdr:graphicFrame macro="">
      <xdr:nvGraphicFramePr>
        <xdr:cNvPr id="8" name="Graphique 7">
          <a:extLst>
            <a:ext uri="{FF2B5EF4-FFF2-40B4-BE49-F238E27FC236}">
              <a16:creationId xmlns:a16="http://schemas.microsoft.com/office/drawing/2014/main" id="{E7067B71-2433-EB13-3087-D329922940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906519</xdr:colOff>
      <xdr:row>31</xdr:row>
      <xdr:rowOff>111030</xdr:rowOff>
    </xdr:from>
    <xdr:to>
      <xdr:col>18</xdr:col>
      <xdr:colOff>667913</xdr:colOff>
      <xdr:row>44</xdr:row>
      <xdr:rowOff>102563</xdr:rowOff>
    </xdr:to>
    <xdr:graphicFrame macro="">
      <xdr:nvGraphicFramePr>
        <xdr:cNvPr id="9" name="Graphique 8">
          <a:extLst>
            <a:ext uri="{FF2B5EF4-FFF2-40B4-BE49-F238E27FC236}">
              <a16:creationId xmlns:a16="http://schemas.microsoft.com/office/drawing/2014/main" id="{171C0083-31D1-8C4C-FD3C-15A98CC7E0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875446</xdr:colOff>
      <xdr:row>16</xdr:row>
      <xdr:rowOff>162144</xdr:rowOff>
    </xdr:from>
    <xdr:to>
      <xdr:col>23</xdr:col>
      <xdr:colOff>636840</xdr:colOff>
      <xdr:row>27</xdr:row>
      <xdr:rowOff>121735</xdr:rowOff>
    </xdr:to>
    <xdr:graphicFrame macro="">
      <xdr:nvGraphicFramePr>
        <xdr:cNvPr id="10" name="Graphique 9">
          <a:extLst>
            <a:ext uri="{FF2B5EF4-FFF2-40B4-BE49-F238E27FC236}">
              <a16:creationId xmlns:a16="http://schemas.microsoft.com/office/drawing/2014/main" id="{A2EBEC04-61BA-5556-52DF-8A211B4943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847920</xdr:colOff>
      <xdr:row>16</xdr:row>
      <xdr:rowOff>159216</xdr:rowOff>
    </xdr:from>
    <xdr:to>
      <xdr:col>28</xdr:col>
      <xdr:colOff>609314</xdr:colOff>
      <xdr:row>27</xdr:row>
      <xdr:rowOff>131507</xdr:rowOff>
    </xdr:to>
    <xdr:graphicFrame macro="">
      <xdr:nvGraphicFramePr>
        <xdr:cNvPr id="11" name="Graphique 10">
          <a:extLst>
            <a:ext uri="{FF2B5EF4-FFF2-40B4-BE49-F238E27FC236}">
              <a16:creationId xmlns:a16="http://schemas.microsoft.com/office/drawing/2014/main" id="{B9D519D8-B2FB-BD49-D540-066A250A0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28</xdr:col>
      <xdr:colOff>701049</xdr:colOff>
      <xdr:row>2</xdr:row>
      <xdr:rowOff>0</xdr:rowOff>
    </xdr:from>
    <xdr:to>
      <xdr:col>33</xdr:col>
      <xdr:colOff>462443</xdr:colOff>
      <xdr:row>14</xdr:row>
      <xdr:rowOff>179003</xdr:rowOff>
    </xdr:to>
    <xdr:graphicFrame macro="">
      <xdr:nvGraphicFramePr>
        <xdr:cNvPr id="12" name="Graphique 11">
          <a:extLst>
            <a:ext uri="{FF2B5EF4-FFF2-40B4-BE49-F238E27FC236}">
              <a16:creationId xmlns:a16="http://schemas.microsoft.com/office/drawing/2014/main" id="{BAEE68B3-73CE-3DDE-37B3-9B19A9C5B3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724046</xdr:colOff>
      <xdr:row>20</xdr:row>
      <xdr:rowOff>142858</xdr:rowOff>
    </xdr:from>
    <xdr:to>
      <xdr:col>17</xdr:col>
      <xdr:colOff>76099</xdr:colOff>
      <xdr:row>40</xdr:row>
      <xdr:rowOff>2912</xdr:rowOff>
    </xdr:to>
    <xdr:graphicFrame macro="">
      <xdr:nvGraphicFramePr>
        <xdr:cNvPr id="8" name="Graphique 7">
          <a:extLst>
            <a:ext uri="{FF2B5EF4-FFF2-40B4-BE49-F238E27FC236}">
              <a16:creationId xmlns:a16="http://schemas.microsoft.com/office/drawing/2014/main" id="{C940F764-841A-82DD-9151-04F94997FC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734976</xdr:colOff>
      <xdr:row>1</xdr:row>
      <xdr:rowOff>333425</xdr:rowOff>
    </xdr:from>
    <xdr:to>
      <xdr:col>17</xdr:col>
      <xdr:colOff>87030</xdr:colOff>
      <xdr:row>19</xdr:row>
      <xdr:rowOff>43263</xdr:rowOff>
    </xdr:to>
    <xdr:graphicFrame macro="">
      <xdr:nvGraphicFramePr>
        <xdr:cNvPr id="4" name="Graphique 3">
          <a:extLst>
            <a:ext uri="{FF2B5EF4-FFF2-40B4-BE49-F238E27FC236}">
              <a16:creationId xmlns:a16="http://schemas.microsoft.com/office/drawing/2014/main" id="{AA29B800-9A44-5318-A859-D72460B34D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1293470</xdr:colOff>
      <xdr:row>47</xdr:row>
      <xdr:rowOff>178448</xdr:rowOff>
    </xdr:from>
    <xdr:to>
      <xdr:col>7</xdr:col>
      <xdr:colOff>597044</xdr:colOff>
      <xdr:row>64</xdr:row>
      <xdr:rowOff>170910</xdr:rowOff>
    </xdr:to>
    <xdr:graphicFrame macro="">
      <xdr:nvGraphicFramePr>
        <xdr:cNvPr id="3" name="Graphique 2">
          <a:extLst>
            <a:ext uri="{FF2B5EF4-FFF2-40B4-BE49-F238E27FC236}">
              <a16:creationId xmlns:a16="http://schemas.microsoft.com/office/drawing/2014/main" id="{C4B140DA-7F32-1C0E-A07C-C96C245FF2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431738</xdr:colOff>
      <xdr:row>1</xdr:row>
      <xdr:rowOff>349268</xdr:rowOff>
    </xdr:from>
    <xdr:to>
      <xdr:col>25</xdr:col>
      <xdr:colOff>739706</xdr:colOff>
      <xdr:row>19</xdr:row>
      <xdr:rowOff>59106</xdr:rowOff>
    </xdr:to>
    <xdr:graphicFrame macro="">
      <xdr:nvGraphicFramePr>
        <xdr:cNvPr id="5" name="Graphique 4">
          <a:extLst>
            <a:ext uri="{FF2B5EF4-FFF2-40B4-BE49-F238E27FC236}">
              <a16:creationId xmlns:a16="http://schemas.microsoft.com/office/drawing/2014/main" id="{0C0F8DB5-22EE-CEDA-699D-27A63E75B8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464384</xdr:colOff>
      <xdr:row>20</xdr:row>
      <xdr:rowOff>163871</xdr:rowOff>
    </xdr:from>
    <xdr:to>
      <xdr:col>25</xdr:col>
      <xdr:colOff>772352</xdr:colOff>
      <xdr:row>40</xdr:row>
      <xdr:rowOff>23925</xdr:rowOff>
    </xdr:to>
    <xdr:graphicFrame macro="">
      <xdr:nvGraphicFramePr>
        <xdr:cNvPr id="2" name="Graphique 1">
          <a:extLst>
            <a:ext uri="{FF2B5EF4-FFF2-40B4-BE49-F238E27FC236}">
              <a16:creationId xmlns:a16="http://schemas.microsoft.com/office/drawing/2014/main" id="{275897F2-24BF-610C-7BB8-60164BD84F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843149</xdr:colOff>
      <xdr:row>2</xdr:row>
      <xdr:rowOff>182748</xdr:rowOff>
    </xdr:from>
    <xdr:to>
      <xdr:col>15</xdr:col>
      <xdr:colOff>373529</xdr:colOff>
      <xdr:row>14</xdr:row>
      <xdr:rowOff>74705</xdr:rowOff>
    </xdr:to>
    <xdr:graphicFrame macro="">
      <xdr:nvGraphicFramePr>
        <xdr:cNvPr id="2" name="Graphique 1">
          <a:extLst>
            <a:ext uri="{FF2B5EF4-FFF2-40B4-BE49-F238E27FC236}">
              <a16:creationId xmlns:a16="http://schemas.microsoft.com/office/drawing/2014/main" id="{8CDF3009-D459-E338-978A-BAFC465F85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595125</xdr:colOff>
      <xdr:row>2</xdr:row>
      <xdr:rowOff>182748</xdr:rowOff>
    </xdr:from>
    <xdr:to>
      <xdr:col>20</xdr:col>
      <xdr:colOff>881529</xdr:colOff>
      <xdr:row>14</xdr:row>
      <xdr:rowOff>74704</xdr:rowOff>
    </xdr:to>
    <xdr:graphicFrame macro="">
      <xdr:nvGraphicFramePr>
        <xdr:cNvPr id="3" name="Graphique 2">
          <a:extLst>
            <a:ext uri="{FF2B5EF4-FFF2-40B4-BE49-F238E27FC236}">
              <a16:creationId xmlns:a16="http://schemas.microsoft.com/office/drawing/2014/main" id="{B603C0E5-9648-CDED-3072-F1F6623E6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818683</xdr:colOff>
      <xdr:row>26</xdr:row>
      <xdr:rowOff>81149</xdr:rowOff>
    </xdr:from>
    <xdr:to>
      <xdr:col>15</xdr:col>
      <xdr:colOff>227012</xdr:colOff>
      <xdr:row>36</xdr:row>
      <xdr:rowOff>33524</xdr:rowOff>
    </xdr:to>
    <xdr:graphicFrame macro="">
      <xdr:nvGraphicFramePr>
        <xdr:cNvPr id="5" name="Graphique 4">
          <a:extLst>
            <a:ext uri="{FF2B5EF4-FFF2-40B4-BE49-F238E27FC236}">
              <a16:creationId xmlns:a16="http://schemas.microsoft.com/office/drawing/2014/main" id="{F2003C57-2C4C-7E0A-AA12-1AA39BE8CC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735012</xdr:colOff>
      <xdr:row>26</xdr:row>
      <xdr:rowOff>170796</xdr:rowOff>
    </xdr:from>
    <xdr:to>
      <xdr:col>20</xdr:col>
      <xdr:colOff>83576</xdr:colOff>
      <xdr:row>36</xdr:row>
      <xdr:rowOff>123171</xdr:rowOff>
    </xdr:to>
    <xdr:graphicFrame macro="">
      <xdr:nvGraphicFramePr>
        <xdr:cNvPr id="6" name="Graphique 5">
          <a:extLst>
            <a:ext uri="{FF2B5EF4-FFF2-40B4-BE49-F238E27FC236}">
              <a16:creationId xmlns:a16="http://schemas.microsoft.com/office/drawing/2014/main" id="{0FE8A7B4-E516-CFF9-0438-153583626E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826403</xdr:colOff>
      <xdr:row>15</xdr:row>
      <xdr:rowOff>43367</xdr:rowOff>
    </xdr:from>
    <xdr:to>
      <xdr:col>15</xdr:col>
      <xdr:colOff>245242</xdr:colOff>
      <xdr:row>24</xdr:row>
      <xdr:rowOff>197365</xdr:rowOff>
    </xdr:to>
    <xdr:graphicFrame macro="">
      <xdr:nvGraphicFramePr>
        <xdr:cNvPr id="9" name="Graphique 8">
          <a:extLst>
            <a:ext uri="{FF2B5EF4-FFF2-40B4-BE49-F238E27FC236}">
              <a16:creationId xmlns:a16="http://schemas.microsoft.com/office/drawing/2014/main" id="{11A96388-7521-F373-E326-D956DF271A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755044</xdr:colOff>
      <xdr:row>15</xdr:row>
      <xdr:rowOff>28425</xdr:rowOff>
    </xdr:from>
    <xdr:to>
      <xdr:col>20</xdr:col>
      <xdr:colOff>114118</xdr:colOff>
      <xdr:row>24</xdr:row>
      <xdr:rowOff>182423</xdr:rowOff>
    </xdr:to>
    <xdr:graphicFrame macro="">
      <xdr:nvGraphicFramePr>
        <xdr:cNvPr id="10" name="Graphique 9">
          <a:extLst>
            <a:ext uri="{FF2B5EF4-FFF2-40B4-BE49-F238E27FC236}">
              <a16:creationId xmlns:a16="http://schemas.microsoft.com/office/drawing/2014/main" id="{509D891F-921E-2DFD-9186-FC6982016E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821765</xdr:colOff>
      <xdr:row>37</xdr:row>
      <xdr:rowOff>165474</xdr:rowOff>
    </xdr:from>
    <xdr:to>
      <xdr:col>15</xdr:col>
      <xdr:colOff>308160</xdr:colOff>
      <xdr:row>49</xdr:row>
      <xdr:rowOff>44824</xdr:rowOff>
    </xdr:to>
    <xdr:graphicFrame macro="">
      <xdr:nvGraphicFramePr>
        <xdr:cNvPr id="11" name="Graphique 10">
          <a:extLst>
            <a:ext uri="{FF2B5EF4-FFF2-40B4-BE49-F238E27FC236}">
              <a16:creationId xmlns:a16="http://schemas.microsoft.com/office/drawing/2014/main" id="{9D97C072-42FA-5563-A76E-830A2A579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700460</xdr:colOff>
      <xdr:row>38</xdr:row>
      <xdr:rowOff>95901</xdr:rowOff>
    </xdr:from>
    <xdr:to>
      <xdr:col>21</xdr:col>
      <xdr:colOff>239059</xdr:colOff>
      <xdr:row>49</xdr:row>
      <xdr:rowOff>104587</xdr:rowOff>
    </xdr:to>
    <xdr:graphicFrame macro="">
      <xdr:nvGraphicFramePr>
        <xdr:cNvPr id="4" name="Graphique 3">
          <a:extLst>
            <a:ext uri="{FF2B5EF4-FFF2-40B4-BE49-F238E27FC236}">
              <a16:creationId xmlns:a16="http://schemas.microsoft.com/office/drawing/2014/main" id="{2E3C1CFC-93EA-6C63-9804-B98BAD334C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868269</xdr:colOff>
      <xdr:row>9</xdr:row>
      <xdr:rowOff>45010</xdr:rowOff>
    </xdr:from>
    <xdr:to>
      <xdr:col>2</xdr:col>
      <xdr:colOff>1036731</xdr:colOff>
      <xdr:row>18</xdr:row>
      <xdr:rowOff>73585</xdr:rowOff>
    </xdr:to>
    <xdr:graphicFrame macro="">
      <xdr:nvGraphicFramePr>
        <xdr:cNvPr id="13" name="Graphique 12">
          <a:extLst>
            <a:ext uri="{FF2B5EF4-FFF2-40B4-BE49-F238E27FC236}">
              <a16:creationId xmlns:a16="http://schemas.microsoft.com/office/drawing/2014/main" id="{EE2FEB6D-7F9A-4180-AF88-5B776E311A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253999</xdr:colOff>
      <xdr:row>2</xdr:row>
      <xdr:rowOff>179294</xdr:rowOff>
    </xdr:from>
    <xdr:to>
      <xdr:col>26</xdr:col>
      <xdr:colOff>411164</xdr:colOff>
      <xdr:row>15</xdr:row>
      <xdr:rowOff>89647</xdr:rowOff>
    </xdr:to>
    <xdr:graphicFrame macro="">
      <xdr:nvGraphicFramePr>
        <xdr:cNvPr id="7" name="Graphique 6">
          <a:extLst>
            <a:ext uri="{FF2B5EF4-FFF2-40B4-BE49-F238E27FC236}">
              <a16:creationId xmlns:a16="http://schemas.microsoft.com/office/drawing/2014/main" id="{3ED13BE6-5C08-014E-A887-7B125B735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185737</xdr:colOff>
      <xdr:row>3</xdr:row>
      <xdr:rowOff>33337</xdr:rowOff>
    </xdr:from>
    <xdr:to>
      <xdr:col>15</xdr:col>
      <xdr:colOff>490537</xdr:colOff>
      <xdr:row>12</xdr:row>
      <xdr:rowOff>242887</xdr:rowOff>
    </xdr:to>
    <xdr:graphicFrame macro="">
      <xdr:nvGraphicFramePr>
        <xdr:cNvPr id="2" name="Graphique 1">
          <a:extLst>
            <a:ext uri="{FF2B5EF4-FFF2-40B4-BE49-F238E27FC236}">
              <a16:creationId xmlns:a16="http://schemas.microsoft.com/office/drawing/2014/main" id="{788D7EE0-1570-AA4E-975C-F52C1A0F55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490536</xdr:colOff>
      <xdr:row>3</xdr:row>
      <xdr:rowOff>33337</xdr:rowOff>
    </xdr:from>
    <xdr:to>
      <xdr:col>20</xdr:col>
      <xdr:colOff>647700</xdr:colOff>
      <xdr:row>12</xdr:row>
      <xdr:rowOff>242887</xdr:rowOff>
    </xdr:to>
    <xdr:graphicFrame macro="">
      <xdr:nvGraphicFramePr>
        <xdr:cNvPr id="3" name="Graphique 2">
          <a:extLst>
            <a:ext uri="{FF2B5EF4-FFF2-40B4-BE49-F238E27FC236}">
              <a16:creationId xmlns:a16="http://schemas.microsoft.com/office/drawing/2014/main" id="{683E09AD-5F2C-894C-9628-5D296910DB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176212</xdr:colOff>
      <xdr:row>23</xdr:row>
      <xdr:rowOff>185737</xdr:rowOff>
    </xdr:from>
    <xdr:to>
      <xdr:col>15</xdr:col>
      <xdr:colOff>481012</xdr:colOff>
      <xdr:row>33</xdr:row>
      <xdr:rowOff>138112</xdr:rowOff>
    </xdr:to>
    <xdr:graphicFrame macro="">
      <xdr:nvGraphicFramePr>
        <xdr:cNvPr id="4" name="Graphique 3">
          <a:extLst>
            <a:ext uri="{FF2B5EF4-FFF2-40B4-BE49-F238E27FC236}">
              <a16:creationId xmlns:a16="http://schemas.microsoft.com/office/drawing/2014/main" id="{7EDF1A39-B28E-3B49-AEDD-48D2BA36FA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481012</xdr:colOff>
      <xdr:row>23</xdr:row>
      <xdr:rowOff>185737</xdr:rowOff>
    </xdr:from>
    <xdr:to>
      <xdr:col>19</xdr:col>
      <xdr:colOff>785812</xdr:colOff>
      <xdr:row>33</xdr:row>
      <xdr:rowOff>138112</xdr:rowOff>
    </xdr:to>
    <xdr:graphicFrame macro="">
      <xdr:nvGraphicFramePr>
        <xdr:cNvPr id="5" name="Graphique 4">
          <a:extLst>
            <a:ext uri="{FF2B5EF4-FFF2-40B4-BE49-F238E27FC236}">
              <a16:creationId xmlns:a16="http://schemas.microsoft.com/office/drawing/2014/main" id="{20D66704-C136-AB49-A676-A4D7BDAAC3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183932</xdr:colOff>
      <xdr:row>13</xdr:row>
      <xdr:rowOff>103132</xdr:rowOff>
    </xdr:from>
    <xdr:to>
      <xdr:col>15</xdr:col>
      <xdr:colOff>499242</xdr:colOff>
      <xdr:row>23</xdr:row>
      <xdr:rowOff>47953</xdr:rowOff>
    </xdr:to>
    <xdr:graphicFrame macro="">
      <xdr:nvGraphicFramePr>
        <xdr:cNvPr id="6" name="Graphique 5">
          <a:extLst>
            <a:ext uri="{FF2B5EF4-FFF2-40B4-BE49-F238E27FC236}">
              <a16:creationId xmlns:a16="http://schemas.microsoft.com/office/drawing/2014/main" id="{7C177B09-D914-B14D-9698-099B96B427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486103</xdr:colOff>
      <xdr:row>13</xdr:row>
      <xdr:rowOff>103131</xdr:rowOff>
    </xdr:from>
    <xdr:to>
      <xdr:col>19</xdr:col>
      <xdr:colOff>801413</xdr:colOff>
      <xdr:row>23</xdr:row>
      <xdr:rowOff>47952</xdr:rowOff>
    </xdr:to>
    <xdr:graphicFrame macro="">
      <xdr:nvGraphicFramePr>
        <xdr:cNvPr id="7" name="Graphique 6">
          <a:extLst>
            <a:ext uri="{FF2B5EF4-FFF2-40B4-BE49-F238E27FC236}">
              <a16:creationId xmlns:a16="http://schemas.microsoft.com/office/drawing/2014/main" id="{D4E58CED-08B8-A44B-9222-B7D5520706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104588</xdr:colOff>
      <xdr:row>33</xdr:row>
      <xdr:rowOff>180414</xdr:rowOff>
    </xdr:from>
    <xdr:to>
      <xdr:col>15</xdr:col>
      <xdr:colOff>487454</xdr:colOff>
      <xdr:row>45</xdr:row>
      <xdr:rowOff>59765</xdr:rowOff>
    </xdr:to>
    <xdr:graphicFrame macro="">
      <xdr:nvGraphicFramePr>
        <xdr:cNvPr id="8" name="Graphique 7">
          <a:extLst>
            <a:ext uri="{FF2B5EF4-FFF2-40B4-BE49-F238E27FC236}">
              <a16:creationId xmlns:a16="http://schemas.microsoft.com/office/drawing/2014/main" id="{2BF1F008-BB77-F746-A6AE-B3462863C2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625754</xdr:colOff>
      <xdr:row>34</xdr:row>
      <xdr:rowOff>66019</xdr:rowOff>
    </xdr:from>
    <xdr:to>
      <xdr:col>21</xdr:col>
      <xdr:colOff>164353</xdr:colOff>
      <xdr:row>45</xdr:row>
      <xdr:rowOff>74705</xdr:rowOff>
    </xdr:to>
    <xdr:graphicFrame macro="">
      <xdr:nvGraphicFramePr>
        <xdr:cNvPr id="9" name="Graphique 8">
          <a:extLst>
            <a:ext uri="{FF2B5EF4-FFF2-40B4-BE49-F238E27FC236}">
              <a16:creationId xmlns:a16="http://schemas.microsoft.com/office/drawing/2014/main" id="{82520F3A-E883-A847-955D-3F39934A15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868269</xdr:colOff>
      <xdr:row>9</xdr:row>
      <xdr:rowOff>45010</xdr:rowOff>
    </xdr:from>
    <xdr:to>
      <xdr:col>2</xdr:col>
      <xdr:colOff>1036731</xdr:colOff>
      <xdr:row>18</xdr:row>
      <xdr:rowOff>73585</xdr:rowOff>
    </xdr:to>
    <xdr:graphicFrame macro="">
      <xdr:nvGraphicFramePr>
        <xdr:cNvPr id="10" name="Graphique 9">
          <a:extLst>
            <a:ext uri="{FF2B5EF4-FFF2-40B4-BE49-F238E27FC236}">
              <a16:creationId xmlns:a16="http://schemas.microsoft.com/office/drawing/2014/main" id="{1218DEB6-8639-2747-8B6A-F3B187FA7C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283883</xdr:colOff>
      <xdr:row>3</xdr:row>
      <xdr:rowOff>29883</xdr:rowOff>
    </xdr:from>
    <xdr:to>
      <xdr:col>26</xdr:col>
      <xdr:colOff>441048</xdr:colOff>
      <xdr:row>16</xdr:row>
      <xdr:rowOff>59765</xdr:rowOff>
    </xdr:to>
    <xdr:graphicFrame macro="">
      <xdr:nvGraphicFramePr>
        <xdr:cNvPr id="11" name="Graphique 10">
          <a:extLst>
            <a:ext uri="{FF2B5EF4-FFF2-40B4-BE49-F238E27FC236}">
              <a16:creationId xmlns:a16="http://schemas.microsoft.com/office/drawing/2014/main" id="{F2902E21-793B-C440-9584-B52A764CA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185737</xdr:colOff>
      <xdr:row>3</xdr:row>
      <xdr:rowOff>33337</xdr:rowOff>
    </xdr:from>
    <xdr:to>
      <xdr:col>15</xdr:col>
      <xdr:colOff>490537</xdr:colOff>
      <xdr:row>12</xdr:row>
      <xdr:rowOff>242887</xdr:rowOff>
    </xdr:to>
    <xdr:graphicFrame macro="">
      <xdr:nvGraphicFramePr>
        <xdr:cNvPr id="2" name="Graphique 1">
          <a:extLst>
            <a:ext uri="{FF2B5EF4-FFF2-40B4-BE49-F238E27FC236}">
              <a16:creationId xmlns:a16="http://schemas.microsoft.com/office/drawing/2014/main" id="{B901B55A-E9FE-7D4B-85D6-FED064BA95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490536</xdr:colOff>
      <xdr:row>3</xdr:row>
      <xdr:rowOff>33337</xdr:rowOff>
    </xdr:from>
    <xdr:to>
      <xdr:col>20</xdr:col>
      <xdr:colOff>647700</xdr:colOff>
      <xdr:row>12</xdr:row>
      <xdr:rowOff>242887</xdr:rowOff>
    </xdr:to>
    <xdr:graphicFrame macro="">
      <xdr:nvGraphicFramePr>
        <xdr:cNvPr id="3" name="Graphique 2">
          <a:extLst>
            <a:ext uri="{FF2B5EF4-FFF2-40B4-BE49-F238E27FC236}">
              <a16:creationId xmlns:a16="http://schemas.microsoft.com/office/drawing/2014/main" id="{248C7CA8-C202-2247-AA1B-F88BE4970C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176212</xdr:colOff>
      <xdr:row>23</xdr:row>
      <xdr:rowOff>185737</xdr:rowOff>
    </xdr:from>
    <xdr:to>
      <xdr:col>15</xdr:col>
      <xdr:colOff>481012</xdr:colOff>
      <xdr:row>33</xdr:row>
      <xdr:rowOff>138112</xdr:rowOff>
    </xdr:to>
    <xdr:graphicFrame macro="">
      <xdr:nvGraphicFramePr>
        <xdr:cNvPr id="4" name="Graphique 3">
          <a:extLst>
            <a:ext uri="{FF2B5EF4-FFF2-40B4-BE49-F238E27FC236}">
              <a16:creationId xmlns:a16="http://schemas.microsoft.com/office/drawing/2014/main" id="{6C568685-9DC5-3440-BF63-4D20C069D4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481012</xdr:colOff>
      <xdr:row>23</xdr:row>
      <xdr:rowOff>185737</xdr:rowOff>
    </xdr:from>
    <xdr:to>
      <xdr:col>19</xdr:col>
      <xdr:colOff>785812</xdr:colOff>
      <xdr:row>33</xdr:row>
      <xdr:rowOff>138112</xdr:rowOff>
    </xdr:to>
    <xdr:graphicFrame macro="">
      <xdr:nvGraphicFramePr>
        <xdr:cNvPr id="5" name="Graphique 4">
          <a:extLst>
            <a:ext uri="{FF2B5EF4-FFF2-40B4-BE49-F238E27FC236}">
              <a16:creationId xmlns:a16="http://schemas.microsoft.com/office/drawing/2014/main" id="{D02D1E5A-DEC3-3946-8BDF-09C269417B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183932</xdr:colOff>
      <xdr:row>13</xdr:row>
      <xdr:rowOff>103132</xdr:rowOff>
    </xdr:from>
    <xdr:to>
      <xdr:col>15</xdr:col>
      <xdr:colOff>499242</xdr:colOff>
      <xdr:row>23</xdr:row>
      <xdr:rowOff>47953</xdr:rowOff>
    </xdr:to>
    <xdr:graphicFrame macro="">
      <xdr:nvGraphicFramePr>
        <xdr:cNvPr id="6" name="Graphique 5">
          <a:extLst>
            <a:ext uri="{FF2B5EF4-FFF2-40B4-BE49-F238E27FC236}">
              <a16:creationId xmlns:a16="http://schemas.microsoft.com/office/drawing/2014/main" id="{62CA5003-5623-1F4F-A5F2-5FBB8F323D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486103</xdr:colOff>
      <xdr:row>13</xdr:row>
      <xdr:rowOff>103131</xdr:rowOff>
    </xdr:from>
    <xdr:to>
      <xdr:col>19</xdr:col>
      <xdr:colOff>801413</xdr:colOff>
      <xdr:row>23</xdr:row>
      <xdr:rowOff>47952</xdr:rowOff>
    </xdr:to>
    <xdr:graphicFrame macro="">
      <xdr:nvGraphicFramePr>
        <xdr:cNvPr id="7" name="Graphique 6">
          <a:extLst>
            <a:ext uri="{FF2B5EF4-FFF2-40B4-BE49-F238E27FC236}">
              <a16:creationId xmlns:a16="http://schemas.microsoft.com/office/drawing/2014/main" id="{F02AE99B-934F-5746-9132-1BD5C299B3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104588</xdr:colOff>
      <xdr:row>33</xdr:row>
      <xdr:rowOff>180414</xdr:rowOff>
    </xdr:from>
    <xdr:to>
      <xdr:col>15</xdr:col>
      <xdr:colOff>487454</xdr:colOff>
      <xdr:row>45</xdr:row>
      <xdr:rowOff>59765</xdr:rowOff>
    </xdr:to>
    <xdr:graphicFrame macro="">
      <xdr:nvGraphicFramePr>
        <xdr:cNvPr id="8" name="Graphique 7">
          <a:extLst>
            <a:ext uri="{FF2B5EF4-FFF2-40B4-BE49-F238E27FC236}">
              <a16:creationId xmlns:a16="http://schemas.microsoft.com/office/drawing/2014/main" id="{6ED2CA5E-F984-CD4F-A361-EE73C633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625754</xdr:colOff>
      <xdr:row>34</xdr:row>
      <xdr:rowOff>66019</xdr:rowOff>
    </xdr:from>
    <xdr:to>
      <xdr:col>21</xdr:col>
      <xdr:colOff>164353</xdr:colOff>
      <xdr:row>45</xdr:row>
      <xdr:rowOff>74705</xdr:rowOff>
    </xdr:to>
    <xdr:graphicFrame macro="">
      <xdr:nvGraphicFramePr>
        <xdr:cNvPr id="9" name="Graphique 8">
          <a:extLst>
            <a:ext uri="{FF2B5EF4-FFF2-40B4-BE49-F238E27FC236}">
              <a16:creationId xmlns:a16="http://schemas.microsoft.com/office/drawing/2014/main" id="{4351CA96-45A7-DA49-BBCC-D6DCC6C766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868269</xdr:colOff>
      <xdr:row>9</xdr:row>
      <xdr:rowOff>45010</xdr:rowOff>
    </xdr:from>
    <xdr:to>
      <xdr:col>2</xdr:col>
      <xdr:colOff>1036731</xdr:colOff>
      <xdr:row>18</xdr:row>
      <xdr:rowOff>73585</xdr:rowOff>
    </xdr:to>
    <xdr:graphicFrame macro="">
      <xdr:nvGraphicFramePr>
        <xdr:cNvPr id="10" name="Graphique 9">
          <a:extLst>
            <a:ext uri="{FF2B5EF4-FFF2-40B4-BE49-F238E27FC236}">
              <a16:creationId xmlns:a16="http://schemas.microsoft.com/office/drawing/2014/main" id="{331062D4-350E-2B4C-8794-9BC0B34769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478117</xdr:colOff>
      <xdr:row>3</xdr:row>
      <xdr:rowOff>134470</xdr:rowOff>
    </xdr:from>
    <xdr:to>
      <xdr:col>26</xdr:col>
      <xdr:colOff>635281</xdr:colOff>
      <xdr:row>16</xdr:row>
      <xdr:rowOff>164352</xdr:rowOff>
    </xdr:to>
    <xdr:graphicFrame macro="">
      <xdr:nvGraphicFramePr>
        <xdr:cNvPr id="11" name="Graphique 10">
          <a:extLst>
            <a:ext uri="{FF2B5EF4-FFF2-40B4-BE49-F238E27FC236}">
              <a16:creationId xmlns:a16="http://schemas.microsoft.com/office/drawing/2014/main" id="{1E869656-50D7-F641-8D5E-E76A4E9D61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942542</xdr:colOff>
      <xdr:row>14</xdr:row>
      <xdr:rowOff>223837</xdr:rowOff>
    </xdr:from>
    <xdr:to>
      <xdr:col>10</xdr:col>
      <xdr:colOff>880631</xdr:colOff>
      <xdr:row>26</xdr:row>
      <xdr:rowOff>139411</xdr:rowOff>
    </xdr:to>
    <xdr:graphicFrame macro="">
      <xdr:nvGraphicFramePr>
        <xdr:cNvPr id="2" name="Graphique 1">
          <a:extLst>
            <a:ext uri="{FF2B5EF4-FFF2-40B4-BE49-F238E27FC236}">
              <a16:creationId xmlns:a16="http://schemas.microsoft.com/office/drawing/2014/main" id="{A0EACD00-475B-4711-8949-AE8B4B1AC9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975445</xdr:colOff>
      <xdr:row>14</xdr:row>
      <xdr:rowOff>230765</xdr:rowOff>
    </xdr:from>
    <xdr:to>
      <xdr:col>15</xdr:col>
      <xdr:colOff>917863</xdr:colOff>
      <xdr:row>26</xdr:row>
      <xdr:rowOff>155863</xdr:rowOff>
    </xdr:to>
    <xdr:graphicFrame macro="">
      <xdr:nvGraphicFramePr>
        <xdr:cNvPr id="3" name="Graphique 2">
          <a:extLst>
            <a:ext uri="{FF2B5EF4-FFF2-40B4-BE49-F238E27FC236}">
              <a16:creationId xmlns:a16="http://schemas.microsoft.com/office/drawing/2014/main" id="{4BFD749E-7199-44CD-B286-481392968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966785</xdr:colOff>
      <xdr:row>0</xdr:row>
      <xdr:rowOff>33337</xdr:rowOff>
    </xdr:from>
    <xdr:to>
      <xdr:col>12</xdr:col>
      <xdr:colOff>828675</xdr:colOff>
      <xdr:row>14</xdr:row>
      <xdr:rowOff>219075</xdr:rowOff>
    </xdr:to>
    <xdr:graphicFrame macro="">
      <xdr:nvGraphicFramePr>
        <xdr:cNvPr id="6" name="Graphique 5">
          <a:extLst>
            <a:ext uri="{FF2B5EF4-FFF2-40B4-BE49-F238E27FC236}">
              <a16:creationId xmlns:a16="http://schemas.microsoft.com/office/drawing/2014/main" id="{E9AB440A-D6EF-0287-B487-458FD4E86D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871536</xdr:colOff>
      <xdr:row>0</xdr:row>
      <xdr:rowOff>0</xdr:rowOff>
    </xdr:from>
    <xdr:to>
      <xdr:col>19</xdr:col>
      <xdr:colOff>609600</xdr:colOff>
      <xdr:row>15</xdr:row>
      <xdr:rowOff>19049</xdr:rowOff>
    </xdr:to>
    <xdr:graphicFrame macro="">
      <xdr:nvGraphicFramePr>
        <xdr:cNvPr id="7" name="Graphique 6">
          <a:extLst>
            <a:ext uri="{FF2B5EF4-FFF2-40B4-BE49-F238E27FC236}">
              <a16:creationId xmlns:a16="http://schemas.microsoft.com/office/drawing/2014/main" id="{4FCE749C-05CD-ED11-5CF1-1550E0FE90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1062037</xdr:colOff>
      <xdr:row>1</xdr:row>
      <xdr:rowOff>4762</xdr:rowOff>
    </xdr:from>
    <xdr:to>
      <xdr:col>7</xdr:col>
      <xdr:colOff>885825</xdr:colOff>
      <xdr:row>10</xdr:row>
      <xdr:rowOff>261937</xdr:rowOff>
    </xdr:to>
    <xdr:graphicFrame macro="">
      <xdr:nvGraphicFramePr>
        <xdr:cNvPr id="2" name="Graphique 1">
          <a:extLst>
            <a:ext uri="{FF2B5EF4-FFF2-40B4-BE49-F238E27FC236}">
              <a16:creationId xmlns:a16="http://schemas.microsoft.com/office/drawing/2014/main" id="{CF5CE668-7749-39B8-07FD-84E8622DA5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1052512</xdr:colOff>
      <xdr:row>1</xdr:row>
      <xdr:rowOff>14287</xdr:rowOff>
    </xdr:from>
    <xdr:to>
      <xdr:col>7</xdr:col>
      <xdr:colOff>290512</xdr:colOff>
      <xdr:row>10</xdr:row>
      <xdr:rowOff>271462</xdr:rowOff>
    </xdr:to>
    <xdr:graphicFrame macro="">
      <xdr:nvGraphicFramePr>
        <xdr:cNvPr id="2" name="Graphique 1">
          <a:extLst>
            <a:ext uri="{FF2B5EF4-FFF2-40B4-BE49-F238E27FC236}">
              <a16:creationId xmlns:a16="http://schemas.microsoft.com/office/drawing/2014/main" id="{C684FC93-B8F0-D416-1AA2-862C4F87AB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700086</xdr:colOff>
      <xdr:row>8</xdr:row>
      <xdr:rowOff>138112</xdr:rowOff>
    </xdr:from>
    <xdr:to>
      <xdr:col>12</xdr:col>
      <xdr:colOff>219075</xdr:colOff>
      <xdr:row>18</xdr:row>
      <xdr:rowOff>171450</xdr:rowOff>
    </xdr:to>
    <xdr:graphicFrame macro="">
      <xdr:nvGraphicFramePr>
        <xdr:cNvPr id="4" name="Graphique 3">
          <a:extLst>
            <a:ext uri="{FF2B5EF4-FFF2-40B4-BE49-F238E27FC236}">
              <a16:creationId xmlns:a16="http://schemas.microsoft.com/office/drawing/2014/main" id="{8640092B-D438-5F02-59E5-3A65FDC73F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4762</xdr:colOff>
      <xdr:row>6</xdr:row>
      <xdr:rowOff>4762</xdr:rowOff>
    </xdr:from>
    <xdr:to>
      <xdr:col>5</xdr:col>
      <xdr:colOff>309562</xdr:colOff>
      <xdr:row>15</xdr:row>
      <xdr:rowOff>261937</xdr:rowOff>
    </xdr:to>
    <xdr:graphicFrame macro="">
      <xdr:nvGraphicFramePr>
        <xdr:cNvPr id="2" name="Graphique 1">
          <a:extLst>
            <a:ext uri="{FF2B5EF4-FFF2-40B4-BE49-F238E27FC236}">
              <a16:creationId xmlns:a16="http://schemas.microsoft.com/office/drawing/2014/main" id="{FB104C16-0D88-2321-AC35-F270C111FA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862011</xdr:colOff>
      <xdr:row>1</xdr:row>
      <xdr:rowOff>61912</xdr:rowOff>
    </xdr:from>
    <xdr:to>
      <xdr:col>9</xdr:col>
      <xdr:colOff>485774</xdr:colOff>
      <xdr:row>11</xdr:row>
      <xdr:rowOff>42862</xdr:rowOff>
    </xdr:to>
    <xdr:graphicFrame macro="">
      <xdr:nvGraphicFramePr>
        <xdr:cNvPr id="2" name="Graphique 1">
          <a:extLst>
            <a:ext uri="{FF2B5EF4-FFF2-40B4-BE49-F238E27FC236}">
              <a16:creationId xmlns:a16="http://schemas.microsoft.com/office/drawing/2014/main" id="{A2354716-AF11-250C-82ED-66F7175802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1052512</xdr:colOff>
      <xdr:row>1</xdr:row>
      <xdr:rowOff>4762</xdr:rowOff>
    </xdr:from>
    <xdr:to>
      <xdr:col>8</xdr:col>
      <xdr:colOff>290512</xdr:colOff>
      <xdr:row>10</xdr:row>
      <xdr:rowOff>261937</xdr:rowOff>
    </xdr:to>
    <xdr:graphicFrame macro="">
      <xdr:nvGraphicFramePr>
        <xdr:cNvPr id="2" name="Graphique 1">
          <a:extLst>
            <a:ext uri="{FF2B5EF4-FFF2-40B4-BE49-F238E27FC236}">
              <a16:creationId xmlns:a16="http://schemas.microsoft.com/office/drawing/2014/main" id="{F4951975-9A7D-9E98-DAEF-E627E26727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1042986</xdr:colOff>
      <xdr:row>11</xdr:row>
      <xdr:rowOff>90486</xdr:rowOff>
    </xdr:from>
    <xdr:to>
      <xdr:col>9</xdr:col>
      <xdr:colOff>571500</xdr:colOff>
      <xdr:row>21</xdr:row>
      <xdr:rowOff>85725</xdr:rowOff>
    </xdr:to>
    <xdr:graphicFrame macro="">
      <xdr:nvGraphicFramePr>
        <xdr:cNvPr id="3" name="Graphique 2">
          <a:extLst>
            <a:ext uri="{FF2B5EF4-FFF2-40B4-BE49-F238E27FC236}">
              <a16:creationId xmlns:a16="http://schemas.microsoft.com/office/drawing/2014/main" id="{6DE9C36A-BA4A-1C02-39A6-023E83E0B0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100012</xdr:colOff>
      <xdr:row>1</xdr:row>
      <xdr:rowOff>80962</xdr:rowOff>
    </xdr:from>
    <xdr:to>
      <xdr:col>9</xdr:col>
      <xdr:colOff>76200</xdr:colOff>
      <xdr:row>11</xdr:row>
      <xdr:rowOff>61912</xdr:rowOff>
    </xdr:to>
    <xdr:graphicFrame macro="">
      <xdr:nvGraphicFramePr>
        <xdr:cNvPr id="2" name="Graphique 1">
          <a:extLst>
            <a:ext uri="{FF2B5EF4-FFF2-40B4-BE49-F238E27FC236}">
              <a16:creationId xmlns:a16="http://schemas.microsoft.com/office/drawing/2014/main" id="{83BBC2BE-72EE-E8DC-276E-59A78D3687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100011</xdr:colOff>
      <xdr:row>11</xdr:row>
      <xdr:rowOff>90487</xdr:rowOff>
    </xdr:from>
    <xdr:to>
      <xdr:col>9</xdr:col>
      <xdr:colOff>66674</xdr:colOff>
      <xdr:row>21</xdr:row>
      <xdr:rowOff>71437</xdr:rowOff>
    </xdr:to>
    <xdr:graphicFrame macro="">
      <xdr:nvGraphicFramePr>
        <xdr:cNvPr id="3" name="Graphique 2">
          <a:extLst>
            <a:ext uri="{FF2B5EF4-FFF2-40B4-BE49-F238E27FC236}">
              <a16:creationId xmlns:a16="http://schemas.microsoft.com/office/drawing/2014/main" id="{E89213D2-DF21-D710-2453-558E62B70C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14287</xdr:colOff>
      <xdr:row>1</xdr:row>
      <xdr:rowOff>14287</xdr:rowOff>
    </xdr:from>
    <xdr:to>
      <xdr:col>7</xdr:col>
      <xdr:colOff>319087</xdr:colOff>
      <xdr:row>10</xdr:row>
      <xdr:rowOff>271462</xdr:rowOff>
    </xdr:to>
    <xdr:graphicFrame macro="">
      <xdr:nvGraphicFramePr>
        <xdr:cNvPr id="3" name="Graphique 2">
          <a:extLst>
            <a:ext uri="{FF2B5EF4-FFF2-40B4-BE49-F238E27FC236}">
              <a16:creationId xmlns:a16="http://schemas.microsoft.com/office/drawing/2014/main" id="{E6E3839C-0EAD-9D97-3A29-BCFE72488D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4762</xdr:colOff>
      <xdr:row>1</xdr:row>
      <xdr:rowOff>271462</xdr:rowOff>
    </xdr:from>
    <xdr:to>
      <xdr:col>7</xdr:col>
      <xdr:colOff>309562</xdr:colOff>
      <xdr:row>11</xdr:row>
      <xdr:rowOff>252412</xdr:rowOff>
    </xdr:to>
    <xdr:graphicFrame macro="">
      <xdr:nvGraphicFramePr>
        <xdr:cNvPr id="2" name="Graphique 1">
          <a:extLst>
            <a:ext uri="{FF2B5EF4-FFF2-40B4-BE49-F238E27FC236}">
              <a16:creationId xmlns:a16="http://schemas.microsoft.com/office/drawing/2014/main" id="{06170512-2544-CCFB-399E-B7635B2C7F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563008</xdr:colOff>
      <xdr:row>8</xdr:row>
      <xdr:rowOff>172070</xdr:rowOff>
    </xdr:from>
    <xdr:to>
      <xdr:col>12</xdr:col>
      <xdr:colOff>99390</xdr:colOff>
      <xdr:row>19</xdr:row>
      <xdr:rowOff>207064</xdr:rowOff>
    </xdr:to>
    <xdr:graphicFrame macro="">
      <xdr:nvGraphicFramePr>
        <xdr:cNvPr id="4" name="Graphique 3">
          <a:extLst>
            <a:ext uri="{FF2B5EF4-FFF2-40B4-BE49-F238E27FC236}">
              <a16:creationId xmlns:a16="http://schemas.microsoft.com/office/drawing/2014/main" id="{2625CD2A-90E8-B38A-62CC-81155D71A9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2</xdr:col>
      <xdr:colOff>1023936</xdr:colOff>
      <xdr:row>1</xdr:row>
      <xdr:rowOff>242887</xdr:rowOff>
    </xdr:from>
    <xdr:to>
      <xdr:col>7</xdr:col>
      <xdr:colOff>781049</xdr:colOff>
      <xdr:row>11</xdr:row>
      <xdr:rowOff>223837</xdr:rowOff>
    </xdr:to>
    <xdr:graphicFrame macro="">
      <xdr:nvGraphicFramePr>
        <xdr:cNvPr id="2" name="Graphique 1">
          <a:extLst>
            <a:ext uri="{FF2B5EF4-FFF2-40B4-BE49-F238E27FC236}">
              <a16:creationId xmlns:a16="http://schemas.microsoft.com/office/drawing/2014/main" id="{0D36D9BD-E122-16A0-2EAE-6807B2CB77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1014412</xdr:colOff>
      <xdr:row>11</xdr:row>
      <xdr:rowOff>261937</xdr:rowOff>
    </xdr:from>
    <xdr:to>
      <xdr:col>7</xdr:col>
      <xdr:colOff>609600</xdr:colOff>
      <xdr:row>21</xdr:row>
      <xdr:rowOff>242887</xdr:rowOff>
    </xdr:to>
    <xdr:graphicFrame macro="">
      <xdr:nvGraphicFramePr>
        <xdr:cNvPr id="3" name="Graphique 2">
          <a:extLst>
            <a:ext uri="{FF2B5EF4-FFF2-40B4-BE49-F238E27FC236}">
              <a16:creationId xmlns:a16="http://schemas.microsoft.com/office/drawing/2014/main" id="{D723731D-7BCD-57A9-02E2-B8314ECF06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E733B9-38F1-BC4B-A424-CE6D0519B932}" name="Tableau1" displayName="Tableau1" ref="A1:I102" totalsRowShown="0" headerRowDxfId="10">
  <autoFilter ref="A1:I102" xr:uid="{D5E733B9-38F1-BC4B-A424-CE6D0519B932}"/>
  <sortState xmlns:xlrd2="http://schemas.microsoft.com/office/spreadsheetml/2017/richdata2" ref="A2:I51">
    <sortCondition descending="1" ref="B1:B51"/>
  </sortState>
  <tableColumns count="9">
    <tableColumn id="1" xr3:uid="{F2C4C16B-C4C5-7245-A51A-E3060831A191}" name="Organisation"/>
    <tableColumn id="2" xr3:uid="{858EAEA2-C3AA-7D4D-A2B3-8323BEF11622}" name="Lot"/>
    <tableColumn id="3" xr3:uid="{A53D356C-F632-9640-A037-922E83B4FBA5}" name="Entité"/>
    <tableColumn id="4" xr3:uid="{3F439E50-CB48-5C44-A10C-C1FE9887581A}" name="Année"/>
    <tableColumn id="5" xr3:uid="{47B2E8EB-8421-2347-9317-5A5F1289BEDD}" name="Catégorie"/>
    <tableColumn id="6" xr3:uid="{2A1C2572-D4DE-0047-B731-721C28F68EA1}" name="Poste"/>
    <tableColumn id="7" xr3:uid="{4EF3ABD1-9DD3-8F40-9AEE-12A32B639C9E}" name="Quantité"/>
    <tableColumn id="8" xr3:uid="{614106F6-7958-3B41-BE2C-4FD9FA61BD4B}" name="Unité"/>
    <tableColumn id="9" xr3:uid="{F185DDA7-ABED-584D-BD94-236708409511}" name="Emissions_kgCO2"/>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50072C0-21E9-F54D-BC86-22E3280DD732}" name="Tableau11" displayName="Tableau11" ref="A1:I18" totalsRowShown="0" dataDxfId="9">
  <autoFilter ref="A1:I18" xr:uid="{5B66985A-9293-C643-A8DF-5B3D0D51A25F}"/>
  <tableColumns count="9">
    <tableColumn id="1" xr3:uid="{37776348-6F82-0044-BFD0-77149FCF1043}" name="poste_l1_code" dataDxfId="8"/>
    <tableColumn id="2" xr3:uid="{B7B015CD-EAA3-6C49-A3B3-B8E74306FFF5}" name="value" dataDxfId="7"/>
    <tableColumn id="4" xr3:uid="{64502C93-37C9-8B47-A9B5-5664691A98FB}" name="hypothèse" dataDxfId="6"/>
    <tableColumn id="3" xr3:uid="{891182F2-E649-4848-BA54-DD9B3243A861}" name="icone" dataDxfId="5"/>
    <tableColumn id="5" xr3:uid="{9956B365-5CF8-D94E-9848-863A8D868A9A}" name="CHART_KEY" dataDxfId="4"/>
    <tableColumn id="7" xr3:uid="{391B65DD-EE8D-A54E-B550-E7031B0466E4}" name="IMAGE_KEY" dataDxfId="3"/>
    <tableColumn id="11" xr3:uid="{4EA4FA29-4505-9D4F-AD54-4AEA8A6CE4C0}" name="TABLE_KEY" dataDxfId="2"/>
    <tableColumn id="12" xr3:uid="{37709EC1-A8F4-0147-B929-21F23A66D4BD}" name="activity" dataDxfId="1"/>
    <tableColumn id="8" xr3:uid="{51725840-0413-7D42-8020-46BA0E4D0A15}" name="DETAIL_SOUCE"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Personnalisé 1">
      <a:dk1>
        <a:sysClr val="windowText" lastClr="000000"/>
      </a:dk1>
      <a:lt1>
        <a:sysClr val="window" lastClr="FFFFFF"/>
      </a:lt1>
      <a:dk2>
        <a:srgbClr val="0E2841"/>
      </a:dk2>
      <a:lt2>
        <a:srgbClr val="E8E8E8"/>
      </a:lt2>
      <a:accent1>
        <a:srgbClr val="003D2E"/>
      </a:accent1>
      <a:accent2>
        <a:srgbClr val="3F9B81"/>
      </a:accent2>
      <a:accent3>
        <a:srgbClr val="FFD966"/>
      </a:accent3>
      <a:accent4>
        <a:srgbClr val="F2AA84"/>
      </a:accent4>
      <a:accent5>
        <a:srgbClr val="BF4F14"/>
      </a:accent5>
      <a:accent6>
        <a:srgbClr val="83CAEB"/>
      </a:accent6>
      <a:hlink>
        <a:srgbClr val="467886"/>
      </a:hlink>
      <a:folHlink>
        <a:srgbClr val="96607D"/>
      </a:folHlink>
    </a:clrScheme>
    <a:fontScheme name="Personnalisé 1">
      <a:majorFont>
        <a:latin typeface="Poppins"/>
        <a:ea typeface=""/>
        <a:cs typeface=""/>
      </a:majorFont>
      <a:minorFont>
        <a:latin typeface="Poppi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FAF7E-783A-DF46-B850-296639133C4A}">
  <sheetPr codeName="Feuil15">
    <tabColor theme="7"/>
  </sheetPr>
  <dimension ref="A1:M22"/>
  <sheetViews>
    <sheetView showGridLines="0" topLeftCell="C1" zoomScale="107" workbookViewId="0">
      <selection activeCell="S13" sqref="S13"/>
    </sheetView>
  </sheetViews>
  <sheetFormatPr baseColWidth="10" defaultRowHeight="16" x14ac:dyDescent="0.2"/>
  <cols>
    <col min="3" max="4" width="10.7109375" customWidth="1"/>
    <col min="12" max="12" width="10.7109375" customWidth="1"/>
  </cols>
  <sheetData>
    <row r="1" spans="1:13" s="197" customFormat="1" ht="66" customHeight="1" x14ac:dyDescent="0.2">
      <c r="A1"/>
      <c r="B1" s="171" t="str">
        <f>"Résutats globaux - " &amp;DATA!A2</f>
        <v>Résutats globaux - La Réunion</v>
      </c>
      <c r="C1" s="172"/>
      <c r="D1" s="172"/>
      <c r="E1" s="172"/>
      <c r="F1" s="172"/>
      <c r="G1" s="172"/>
      <c r="H1" s="172"/>
      <c r="I1" s="172"/>
      <c r="J1" s="172"/>
      <c r="K1" s="172"/>
      <c r="L1" s="172"/>
      <c r="M1" s="173"/>
    </row>
    <row r="2" spans="1:13" x14ac:dyDescent="0.2">
      <c r="B2" s="16"/>
      <c r="M2" s="27"/>
    </row>
    <row r="3" spans="1:13" x14ac:dyDescent="0.2">
      <c r="B3" s="16"/>
      <c r="M3" s="27"/>
    </row>
    <row r="4" spans="1:13" x14ac:dyDescent="0.2">
      <c r="B4" s="16"/>
      <c r="M4" s="27"/>
    </row>
    <row r="5" spans="1:13" x14ac:dyDescent="0.2">
      <c r="B5" s="16"/>
      <c r="M5" s="27"/>
    </row>
    <row r="6" spans="1:13" x14ac:dyDescent="0.2">
      <c r="B6" s="16"/>
      <c r="M6" s="27"/>
    </row>
    <row r="7" spans="1:13" ht="52" customHeight="1" x14ac:dyDescent="0.2">
      <c r="B7" s="16"/>
      <c r="M7" s="27"/>
    </row>
    <row r="8" spans="1:13" x14ac:dyDescent="0.2">
      <c r="B8" s="16"/>
      <c r="M8" s="27"/>
    </row>
    <row r="9" spans="1:13" ht="26" customHeight="1" x14ac:dyDescent="0.2">
      <c r="B9" s="16"/>
      <c r="M9" s="27"/>
    </row>
    <row r="10" spans="1:13" ht="26" customHeight="1" x14ac:dyDescent="0.2">
      <c r="B10" s="16"/>
      <c r="M10" s="27"/>
    </row>
    <row r="11" spans="1:13" ht="26" customHeight="1" x14ac:dyDescent="0.2">
      <c r="B11" s="16"/>
      <c r="M11" s="27"/>
    </row>
    <row r="12" spans="1:13" ht="26" customHeight="1" x14ac:dyDescent="0.2">
      <c r="B12" s="16"/>
      <c r="M12" s="27"/>
    </row>
    <row r="13" spans="1:13" ht="26" customHeight="1" x14ac:dyDescent="0.2">
      <c r="B13" s="16"/>
      <c r="M13" s="27"/>
    </row>
    <row r="14" spans="1:13" ht="26" customHeight="1" x14ac:dyDescent="0.2">
      <c r="B14" s="16"/>
      <c r="M14" s="27"/>
    </row>
    <row r="15" spans="1:13" x14ac:dyDescent="0.2">
      <c r="B15" s="16"/>
      <c r="M15" s="27"/>
    </row>
    <row r="16" spans="1:13" x14ac:dyDescent="0.2">
      <c r="B16" s="16"/>
      <c r="M16" s="27"/>
    </row>
    <row r="17" spans="2:13" x14ac:dyDescent="0.2">
      <c r="B17" s="16"/>
      <c r="M17" s="27"/>
    </row>
    <row r="18" spans="2:13" x14ac:dyDescent="0.2">
      <c r="B18" s="16"/>
      <c r="M18" s="27"/>
    </row>
    <row r="19" spans="2:13" x14ac:dyDescent="0.2">
      <c r="B19" s="16"/>
      <c r="M19" s="27"/>
    </row>
    <row r="20" spans="2:13" x14ac:dyDescent="0.2">
      <c r="B20" s="16"/>
      <c r="M20" s="27"/>
    </row>
    <row r="21" spans="2:13" x14ac:dyDescent="0.2">
      <c r="B21" s="16"/>
      <c r="M21" s="27"/>
    </row>
    <row r="22" spans="2:13" ht="17" thickBot="1" x14ac:dyDescent="0.25">
      <c r="B22" s="28"/>
      <c r="C22" s="170"/>
      <c r="D22" s="170"/>
      <c r="E22" s="170"/>
      <c r="F22" s="170"/>
      <c r="G22" s="170"/>
      <c r="H22" s="170"/>
      <c r="I22" s="170"/>
      <c r="J22" s="170"/>
      <c r="K22" s="170"/>
      <c r="L22" s="170"/>
      <c r="M22" s="30"/>
    </row>
  </sheetData>
  <mergeCells count="1">
    <mergeCell ref="B1:M1"/>
  </mergeCells>
  <phoneticPr fontId="13"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9C0FB-46DF-6342-AFF6-DFF5AE2EDD78}">
  <sheetPr codeName="Feuil16">
    <tabColor theme="8" tint="0.59999389629810485"/>
  </sheetPr>
  <dimension ref="A1:I102"/>
  <sheetViews>
    <sheetView showGridLines="0" topLeftCell="A39" zoomScale="69" workbookViewId="0">
      <selection activeCell="I95" sqref="I95"/>
    </sheetView>
  </sheetViews>
  <sheetFormatPr baseColWidth="10" defaultRowHeight="16" x14ac:dyDescent="0.2"/>
  <cols>
    <col min="1" max="1" width="13.85546875" customWidth="1"/>
    <col min="2" max="2" width="7.42578125" bestFit="1" customWidth="1"/>
    <col min="3" max="3" width="7.85546875" customWidth="1"/>
    <col min="4" max="4" width="8.28515625" customWidth="1"/>
    <col min="5" max="5" width="19.85546875" bestFit="1" customWidth="1"/>
    <col min="6" max="6" width="49.7109375" bestFit="1" customWidth="1"/>
    <col min="7" max="7" width="11.5703125" bestFit="1" customWidth="1"/>
    <col min="8" max="8" width="7.42578125" customWidth="1"/>
    <col min="9" max="9" width="17.28515625" customWidth="1"/>
    <col min="10" max="10" width="195.140625" bestFit="1" customWidth="1"/>
    <col min="11" max="11" width="5.42578125" bestFit="1" customWidth="1"/>
    <col min="12" max="12" width="6.140625" bestFit="1" customWidth="1"/>
  </cols>
  <sheetData>
    <row r="1" spans="1:9" s="5" customFormat="1" ht="29" customHeight="1" x14ac:dyDescent="0.2">
      <c r="A1" s="5" t="s">
        <v>96</v>
      </c>
      <c r="B1" s="5" t="s">
        <v>97</v>
      </c>
      <c r="C1" s="5" t="s">
        <v>98</v>
      </c>
      <c r="D1" s="5" t="s">
        <v>99</v>
      </c>
      <c r="E1" s="5" t="s">
        <v>100</v>
      </c>
      <c r="F1" s="5" t="s">
        <v>48</v>
      </c>
      <c r="G1" s="5" t="s">
        <v>101</v>
      </c>
      <c r="H1" s="5" t="s">
        <v>102</v>
      </c>
      <c r="I1" s="5" t="s">
        <v>103</v>
      </c>
    </row>
    <row r="2" spans="1:9" ht="23" customHeight="1" x14ac:dyDescent="0.2">
      <c r="A2" t="s">
        <v>104</v>
      </c>
      <c r="B2" t="s">
        <v>105</v>
      </c>
      <c r="C2" t="s">
        <v>33</v>
      </c>
      <c r="D2">
        <v>2024</v>
      </c>
      <c r="E2" t="s">
        <v>106</v>
      </c>
      <c r="F2" t="s">
        <v>147</v>
      </c>
      <c r="G2">
        <v>22351141</v>
      </c>
      <c r="H2" t="s">
        <v>42</v>
      </c>
      <c r="I2">
        <v>1296366.1779999998</v>
      </c>
    </row>
    <row r="3" spans="1:9" ht="23" customHeight="1" x14ac:dyDescent="0.2">
      <c r="A3" t="s">
        <v>104</v>
      </c>
      <c r="B3" t="s">
        <v>105</v>
      </c>
      <c r="C3" t="s">
        <v>33</v>
      </c>
      <c r="D3">
        <v>2024</v>
      </c>
      <c r="E3" t="s">
        <v>107</v>
      </c>
      <c r="F3" t="s">
        <v>108</v>
      </c>
      <c r="H3" t="s">
        <v>8</v>
      </c>
    </row>
    <row r="4" spans="1:9" ht="23" customHeight="1" x14ac:dyDescent="0.2">
      <c r="A4" t="s">
        <v>104</v>
      </c>
      <c r="B4" t="s">
        <v>105</v>
      </c>
      <c r="C4" t="s">
        <v>33</v>
      </c>
      <c r="D4">
        <v>2024</v>
      </c>
      <c r="E4" t="s">
        <v>107</v>
      </c>
      <c r="F4" t="s">
        <v>109</v>
      </c>
      <c r="H4" t="s">
        <v>8</v>
      </c>
    </row>
    <row r="5" spans="1:9" ht="23" customHeight="1" x14ac:dyDescent="0.2">
      <c r="A5" t="s">
        <v>104</v>
      </c>
      <c r="B5" t="s">
        <v>105</v>
      </c>
      <c r="C5" t="s">
        <v>33</v>
      </c>
      <c r="D5">
        <v>2024</v>
      </c>
      <c r="E5" t="s">
        <v>110</v>
      </c>
      <c r="F5" t="s">
        <v>110</v>
      </c>
      <c r="G5">
        <v>49560</v>
      </c>
      <c r="H5" t="s">
        <v>8</v>
      </c>
      <c r="I5">
        <v>16009.6646</v>
      </c>
    </row>
    <row r="6" spans="1:9" ht="23" customHeight="1" x14ac:dyDescent="0.2">
      <c r="A6" t="s">
        <v>104</v>
      </c>
      <c r="B6" t="s">
        <v>105</v>
      </c>
      <c r="C6" t="s">
        <v>33</v>
      </c>
      <c r="D6">
        <v>2024</v>
      </c>
      <c r="E6" t="s">
        <v>111</v>
      </c>
      <c r="F6" t="s">
        <v>112</v>
      </c>
      <c r="G6">
        <v>480</v>
      </c>
      <c r="H6" t="s">
        <v>113</v>
      </c>
      <c r="I6">
        <v>576000</v>
      </c>
    </row>
    <row r="7" spans="1:9" ht="23" customHeight="1" x14ac:dyDescent="0.2">
      <c r="A7" t="s">
        <v>104</v>
      </c>
      <c r="B7" t="s">
        <v>105</v>
      </c>
      <c r="C7" t="s">
        <v>33</v>
      </c>
      <c r="D7">
        <v>2024</v>
      </c>
      <c r="E7" t="s">
        <v>111</v>
      </c>
      <c r="F7" t="s">
        <v>114</v>
      </c>
      <c r="G7">
        <v>590</v>
      </c>
      <c r="H7" t="s">
        <v>113</v>
      </c>
      <c r="I7">
        <v>12390</v>
      </c>
    </row>
    <row r="8" spans="1:9" ht="23" customHeight="1" x14ac:dyDescent="0.2">
      <c r="A8" t="s">
        <v>104</v>
      </c>
      <c r="B8" t="s">
        <v>105</v>
      </c>
      <c r="C8" t="s">
        <v>33</v>
      </c>
      <c r="D8">
        <v>2024</v>
      </c>
      <c r="E8" t="s">
        <v>111</v>
      </c>
      <c r="F8" t="s">
        <v>115</v>
      </c>
      <c r="G8">
        <v>1363</v>
      </c>
      <c r="H8" t="s">
        <v>116</v>
      </c>
      <c r="I8">
        <v>216410</v>
      </c>
    </row>
    <row r="9" spans="1:9" ht="23" customHeight="1" x14ac:dyDescent="0.2">
      <c r="A9" t="s">
        <v>104</v>
      </c>
      <c r="B9" t="s">
        <v>105</v>
      </c>
      <c r="C9" t="s">
        <v>33</v>
      </c>
      <c r="D9">
        <v>2024</v>
      </c>
      <c r="E9" t="s">
        <v>111</v>
      </c>
      <c r="F9" t="s">
        <v>144</v>
      </c>
      <c r="G9">
        <v>1020</v>
      </c>
      <c r="H9" t="s">
        <v>113</v>
      </c>
      <c r="I9">
        <v>3427200</v>
      </c>
    </row>
    <row r="10" spans="1:9" ht="23" customHeight="1" x14ac:dyDescent="0.2">
      <c r="A10" t="s">
        <v>104</v>
      </c>
      <c r="B10" t="s">
        <v>105</v>
      </c>
      <c r="C10" t="s">
        <v>33</v>
      </c>
      <c r="D10">
        <v>2024</v>
      </c>
      <c r="E10" t="s">
        <v>51</v>
      </c>
      <c r="F10" t="s">
        <v>117</v>
      </c>
      <c r="H10" t="s">
        <v>8</v>
      </c>
    </row>
    <row r="11" spans="1:9" ht="23" customHeight="1" x14ac:dyDescent="0.2">
      <c r="A11" t="s">
        <v>104</v>
      </c>
      <c r="B11" t="s">
        <v>105</v>
      </c>
      <c r="C11" t="s">
        <v>33</v>
      </c>
      <c r="D11">
        <v>2024</v>
      </c>
      <c r="E11" t="s">
        <v>51</v>
      </c>
      <c r="F11" t="s">
        <v>118</v>
      </c>
      <c r="H11" t="s">
        <v>8</v>
      </c>
    </row>
    <row r="12" spans="1:9" ht="23" customHeight="1" x14ac:dyDescent="0.2">
      <c r="A12" t="s">
        <v>104</v>
      </c>
      <c r="B12" t="s">
        <v>105</v>
      </c>
      <c r="C12" t="s">
        <v>33</v>
      </c>
      <c r="D12">
        <v>2024</v>
      </c>
      <c r="E12" t="s">
        <v>95</v>
      </c>
      <c r="F12" t="s">
        <v>119</v>
      </c>
      <c r="H12" t="s">
        <v>120</v>
      </c>
    </row>
    <row r="13" spans="1:9" ht="23" customHeight="1" x14ac:dyDescent="0.2">
      <c r="A13" t="s">
        <v>104</v>
      </c>
      <c r="B13" t="s">
        <v>105</v>
      </c>
      <c r="C13" t="s">
        <v>33</v>
      </c>
      <c r="D13">
        <v>2024</v>
      </c>
      <c r="E13" t="s">
        <v>95</v>
      </c>
      <c r="F13" t="s">
        <v>121</v>
      </c>
      <c r="H13" t="s">
        <v>120</v>
      </c>
    </row>
    <row r="14" spans="1:9" ht="23" customHeight="1" x14ac:dyDescent="0.2">
      <c r="A14" t="s">
        <v>104</v>
      </c>
      <c r="B14" t="s">
        <v>105</v>
      </c>
      <c r="C14" t="s">
        <v>33</v>
      </c>
      <c r="D14">
        <v>2024</v>
      </c>
      <c r="E14" s="131" t="s">
        <v>141</v>
      </c>
      <c r="F14" t="s">
        <v>134</v>
      </c>
      <c r="H14" t="s">
        <v>122</v>
      </c>
      <c r="I14">
        <v>40991272</v>
      </c>
    </row>
    <row r="15" spans="1:9" ht="23" customHeight="1" x14ac:dyDescent="0.2">
      <c r="A15" t="s">
        <v>104</v>
      </c>
      <c r="B15" t="s">
        <v>105</v>
      </c>
      <c r="C15" t="s">
        <v>33</v>
      </c>
      <c r="D15">
        <v>2024</v>
      </c>
      <c r="E15" t="s">
        <v>123</v>
      </c>
      <c r="F15" t="s">
        <v>62</v>
      </c>
      <c r="H15" t="s">
        <v>8</v>
      </c>
    </row>
    <row r="16" spans="1:9" ht="23" customHeight="1" x14ac:dyDescent="0.2">
      <c r="A16" t="s">
        <v>104</v>
      </c>
      <c r="B16" t="s">
        <v>105</v>
      </c>
      <c r="C16" t="s">
        <v>33</v>
      </c>
      <c r="D16">
        <v>2024</v>
      </c>
      <c r="E16" t="s">
        <v>123</v>
      </c>
      <c r="F16" t="s">
        <v>63</v>
      </c>
      <c r="H16" t="s">
        <v>8</v>
      </c>
    </row>
    <row r="17" spans="1:9" ht="23" customHeight="1" x14ac:dyDescent="0.2">
      <c r="A17" t="s">
        <v>104</v>
      </c>
      <c r="B17" t="s">
        <v>105</v>
      </c>
      <c r="C17" t="s">
        <v>33</v>
      </c>
      <c r="D17">
        <v>2024</v>
      </c>
      <c r="E17" t="s">
        <v>124</v>
      </c>
      <c r="F17" t="s">
        <v>64</v>
      </c>
      <c r="H17" t="s">
        <v>8</v>
      </c>
    </row>
    <row r="18" spans="1:9" ht="23" customHeight="1" x14ac:dyDescent="0.2">
      <c r="A18" t="s">
        <v>104</v>
      </c>
      <c r="B18" t="s">
        <v>105</v>
      </c>
      <c r="C18" t="s">
        <v>33</v>
      </c>
      <c r="D18">
        <v>2024</v>
      </c>
      <c r="E18" t="s">
        <v>124</v>
      </c>
      <c r="F18" t="s">
        <v>65</v>
      </c>
      <c r="H18" t="s">
        <v>8</v>
      </c>
    </row>
    <row r="19" spans="1:9" ht="23" customHeight="1" x14ac:dyDescent="0.2">
      <c r="A19" t="s">
        <v>104</v>
      </c>
      <c r="B19" t="s">
        <v>105</v>
      </c>
      <c r="C19" t="s">
        <v>33</v>
      </c>
      <c r="D19">
        <v>2024</v>
      </c>
      <c r="E19" t="s">
        <v>125</v>
      </c>
      <c r="F19" t="s">
        <v>126</v>
      </c>
      <c r="G19">
        <v>9201822</v>
      </c>
      <c r="H19" t="s">
        <v>122</v>
      </c>
      <c r="I19">
        <v>1214640.504</v>
      </c>
    </row>
    <row r="20" spans="1:9" ht="23" customHeight="1" x14ac:dyDescent="0.2">
      <c r="A20" t="s">
        <v>104</v>
      </c>
      <c r="B20" t="s">
        <v>105</v>
      </c>
      <c r="C20" t="s">
        <v>33</v>
      </c>
      <c r="D20">
        <v>2024</v>
      </c>
      <c r="E20" t="s">
        <v>127</v>
      </c>
      <c r="F20" t="s">
        <v>128</v>
      </c>
      <c r="H20" t="s">
        <v>129</v>
      </c>
      <c r="I20">
        <v>743065</v>
      </c>
    </row>
    <row r="21" spans="1:9" ht="23" customHeight="1" x14ac:dyDescent="0.2">
      <c r="A21" t="s">
        <v>104</v>
      </c>
      <c r="B21" t="s">
        <v>105</v>
      </c>
      <c r="C21" t="s">
        <v>33</v>
      </c>
      <c r="D21">
        <v>2024</v>
      </c>
      <c r="E21" t="s">
        <v>50</v>
      </c>
      <c r="F21" t="s">
        <v>130</v>
      </c>
      <c r="H21" t="s">
        <v>129</v>
      </c>
      <c r="I21">
        <v>224131.91401533334</v>
      </c>
    </row>
    <row r="22" spans="1:9" ht="23" customHeight="1" x14ac:dyDescent="0.2">
      <c r="A22" t="s">
        <v>104</v>
      </c>
      <c r="B22" t="s">
        <v>105</v>
      </c>
      <c r="C22" t="s">
        <v>33</v>
      </c>
      <c r="D22">
        <v>2024</v>
      </c>
      <c r="E22" t="s">
        <v>131</v>
      </c>
      <c r="F22" t="s">
        <v>131</v>
      </c>
      <c r="I22">
        <v>113559.24319954</v>
      </c>
    </row>
    <row r="23" spans="1:9" ht="23" customHeight="1" x14ac:dyDescent="0.2">
      <c r="A23" t="s">
        <v>104</v>
      </c>
      <c r="B23" t="s">
        <v>105</v>
      </c>
      <c r="C23" t="s">
        <v>33</v>
      </c>
      <c r="D23">
        <v>2024</v>
      </c>
      <c r="E23" t="s">
        <v>140</v>
      </c>
      <c r="F23" t="s">
        <v>132</v>
      </c>
      <c r="I23">
        <v>11302.827000000001</v>
      </c>
    </row>
    <row r="24" spans="1:9" ht="23" customHeight="1" x14ac:dyDescent="0.2">
      <c r="A24" t="s">
        <v>104</v>
      </c>
      <c r="B24" t="s">
        <v>105</v>
      </c>
      <c r="C24" t="s">
        <v>33</v>
      </c>
      <c r="D24">
        <v>2024</v>
      </c>
      <c r="E24" t="s">
        <v>135</v>
      </c>
      <c r="F24" t="s">
        <v>136</v>
      </c>
      <c r="G24">
        <v>21959610</v>
      </c>
      <c r="H24" t="s">
        <v>122</v>
      </c>
    </row>
    <row r="25" spans="1:9" ht="23" customHeight="1" x14ac:dyDescent="0.2">
      <c r="A25" t="s">
        <v>104</v>
      </c>
      <c r="B25" t="s">
        <v>105</v>
      </c>
      <c r="C25" t="s">
        <v>33</v>
      </c>
      <c r="D25">
        <v>2024</v>
      </c>
      <c r="E25" t="s">
        <v>135</v>
      </c>
      <c r="F25" t="s">
        <v>137</v>
      </c>
      <c r="H25" t="s">
        <v>113</v>
      </c>
    </row>
    <row r="26" spans="1:9" ht="23" customHeight="1" x14ac:dyDescent="0.2">
      <c r="A26" t="s">
        <v>104</v>
      </c>
      <c r="B26" t="s">
        <v>105</v>
      </c>
      <c r="C26" t="s">
        <v>33</v>
      </c>
      <c r="D26">
        <v>2024</v>
      </c>
      <c r="E26" t="s">
        <v>135</v>
      </c>
      <c r="F26" t="s">
        <v>138</v>
      </c>
      <c r="H26" t="s">
        <v>113</v>
      </c>
    </row>
    <row r="27" spans="1:9" ht="23" customHeight="1" x14ac:dyDescent="0.2">
      <c r="A27" t="s">
        <v>104</v>
      </c>
      <c r="B27" t="s">
        <v>133</v>
      </c>
      <c r="C27" t="s">
        <v>33</v>
      </c>
      <c r="D27">
        <v>2024</v>
      </c>
      <c r="E27" t="s">
        <v>106</v>
      </c>
      <c r="F27" t="s">
        <v>147</v>
      </c>
      <c r="G27">
        <v>0</v>
      </c>
      <c r="H27" t="s">
        <v>42</v>
      </c>
      <c r="I27">
        <v>311083.40599999996</v>
      </c>
    </row>
    <row r="28" spans="1:9" ht="23" customHeight="1" x14ac:dyDescent="0.2">
      <c r="A28" t="s">
        <v>104</v>
      </c>
      <c r="B28" t="s">
        <v>133</v>
      </c>
      <c r="C28" t="s">
        <v>33</v>
      </c>
      <c r="D28">
        <v>2024</v>
      </c>
      <c r="E28" t="s">
        <v>107</v>
      </c>
      <c r="F28" t="s">
        <v>108</v>
      </c>
      <c r="H28" t="s">
        <v>8</v>
      </c>
    </row>
    <row r="29" spans="1:9" ht="23" customHeight="1" x14ac:dyDescent="0.2">
      <c r="A29" t="s">
        <v>104</v>
      </c>
      <c r="B29" t="s">
        <v>133</v>
      </c>
      <c r="C29" t="s">
        <v>33</v>
      </c>
      <c r="D29">
        <v>2024</v>
      </c>
      <c r="E29" t="s">
        <v>107</v>
      </c>
      <c r="F29" t="s">
        <v>109</v>
      </c>
      <c r="H29" t="s">
        <v>8</v>
      </c>
    </row>
    <row r="30" spans="1:9" ht="23" customHeight="1" x14ac:dyDescent="0.2">
      <c r="A30" t="s">
        <v>104</v>
      </c>
      <c r="B30" t="s">
        <v>133</v>
      </c>
      <c r="C30" t="s">
        <v>33</v>
      </c>
      <c r="D30">
        <v>2024</v>
      </c>
      <c r="E30" t="s">
        <v>110</v>
      </c>
      <c r="F30" t="s">
        <v>110</v>
      </c>
      <c r="G30">
        <v>19633</v>
      </c>
      <c r="H30" t="s">
        <v>8</v>
      </c>
      <c r="I30">
        <v>8716.9553599999999</v>
      </c>
    </row>
    <row r="31" spans="1:9" ht="23" customHeight="1" x14ac:dyDescent="0.2">
      <c r="A31" t="s">
        <v>104</v>
      </c>
      <c r="B31" t="s">
        <v>133</v>
      </c>
      <c r="C31" t="s">
        <v>33</v>
      </c>
      <c r="D31">
        <v>2024</v>
      </c>
      <c r="E31" t="s">
        <v>111</v>
      </c>
      <c r="F31" t="s">
        <v>112</v>
      </c>
      <c r="G31">
        <v>0</v>
      </c>
      <c r="H31" t="s">
        <v>113</v>
      </c>
      <c r="I31">
        <v>176400</v>
      </c>
    </row>
    <row r="32" spans="1:9" ht="23" customHeight="1" x14ac:dyDescent="0.2">
      <c r="A32" t="s">
        <v>104</v>
      </c>
      <c r="B32" t="s">
        <v>133</v>
      </c>
      <c r="C32" t="s">
        <v>33</v>
      </c>
      <c r="D32">
        <v>2024</v>
      </c>
      <c r="E32" t="s">
        <v>111</v>
      </c>
      <c r="F32" t="s">
        <v>114</v>
      </c>
      <c r="G32">
        <v>0</v>
      </c>
      <c r="H32" t="s">
        <v>113</v>
      </c>
      <c r="I32">
        <v>7308</v>
      </c>
    </row>
    <row r="33" spans="1:9" ht="23" customHeight="1" x14ac:dyDescent="0.2">
      <c r="A33" t="s">
        <v>104</v>
      </c>
      <c r="B33" t="s">
        <v>133</v>
      </c>
      <c r="C33" t="s">
        <v>33</v>
      </c>
      <c r="D33">
        <v>2024</v>
      </c>
      <c r="E33" t="s">
        <v>111</v>
      </c>
      <c r="F33" t="s">
        <v>115</v>
      </c>
      <c r="G33">
        <v>0</v>
      </c>
      <c r="H33" t="s">
        <v>116</v>
      </c>
      <c r="I33">
        <v>0</v>
      </c>
    </row>
    <row r="34" spans="1:9" ht="23" customHeight="1" x14ac:dyDescent="0.2">
      <c r="A34" t="s">
        <v>104</v>
      </c>
      <c r="B34" t="s">
        <v>133</v>
      </c>
      <c r="C34" t="s">
        <v>33</v>
      </c>
      <c r="D34">
        <v>2024</v>
      </c>
      <c r="E34" t="s">
        <v>111</v>
      </c>
      <c r="F34" t="s">
        <v>144</v>
      </c>
      <c r="G34">
        <v>0</v>
      </c>
      <c r="H34" t="s">
        <v>113</v>
      </c>
      <c r="I34">
        <v>1313760</v>
      </c>
    </row>
    <row r="35" spans="1:9" ht="23" customHeight="1" x14ac:dyDescent="0.2">
      <c r="A35" t="s">
        <v>104</v>
      </c>
      <c r="B35" t="s">
        <v>133</v>
      </c>
      <c r="C35" t="s">
        <v>33</v>
      </c>
      <c r="D35">
        <v>2024</v>
      </c>
      <c r="E35" t="s">
        <v>51</v>
      </c>
      <c r="F35" t="s">
        <v>117</v>
      </c>
      <c r="H35" t="s">
        <v>8</v>
      </c>
    </row>
    <row r="36" spans="1:9" ht="23" customHeight="1" x14ac:dyDescent="0.2">
      <c r="A36" t="s">
        <v>104</v>
      </c>
      <c r="B36" t="s">
        <v>133</v>
      </c>
      <c r="C36" t="s">
        <v>33</v>
      </c>
      <c r="D36">
        <v>2024</v>
      </c>
      <c r="E36" t="s">
        <v>51</v>
      </c>
      <c r="F36" t="s">
        <v>118</v>
      </c>
      <c r="H36" t="s">
        <v>8</v>
      </c>
    </row>
    <row r="37" spans="1:9" ht="23" customHeight="1" x14ac:dyDescent="0.2">
      <c r="A37" t="s">
        <v>104</v>
      </c>
      <c r="B37" t="s">
        <v>133</v>
      </c>
      <c r="C37" t="s">
        <v>33</v>
      </c>
      <c r="D37">
        <v>2024</v>
      </c>
      <c r="E37" t="s">
        <v>95</v>
      </c>
      <c r="F37" t="s">
        <v>119</v>
      </c>
      <c r="H37" t="s">
        <v>120</v>
      </c>
    </row>
    <row r="38" spans="1:9" ht="23" customHeight="1" x14ac:dyDescent="0.2">
      <c r="A38" t="s">
        <v>104</v>
      </c>
      <c r="B38" t="s">
        <v>133</v>
      </c>
      <c r="C38" t="s">
        <v>33</v>
      </c>
      <c r="D38">
        <v>2024</v>
      </c>
      <c r="E38" t="s">
        <v>95</v>
      </c>
      <c r="F38" t="s">
        <v>121</v>
      </c>
      <c r="H38" t="s">
        <v>120</v>
      </c>
    </row>
    <row r="39" spans="1:9" ht="23" customHeight="1" x14ac:dyDescent="0.2">
      <c r="A39" t="s">
        <v>104</v>
      </c>
      <c r="B39" t="s">
        <v>133</v>
      </c>
      <c r="C39" t="s">
        <v>33</v>
      </c>
      <c r="D39">
        <v>2024</v>
      </c>
      <c r="E39" s="131" t="s">
        <v>141</v>
      </c>
      <c r="F39" t="s">
        <v>134</v>
      </c>
      <c r="H39" t="s">
        <v>122</v>
      </c>
      <c r="I39">
        <v>12453289.333333332</v>
      </c>
    </row>
    <row r="40" spans="1:9" ht="23" customHeight="1" x14ac:dyDescent="0.2">
      <c r="A40" t="s">
        <v>104</v>
      </c>
      <c r="B40" t="s">
        <v>133</v>
      </c>
      <c r="C40" t="s">
        <v>33</v>
      </c>
      <c r="D40">
        <v>2024</v>
      </c>
      <c r="E40" t="s">
        <v>123</v>
      </c>
      <c r="F40" t="s">
        <v>62</v>
      </c>
      <c r="H40" t="s">
        <v>8</v>
      </c>
    </row>
    <row r="41" spans="1:9" ht="23" customHeight="1" x14ac:dyDescent="0.2">
      <c r="A41" t="s">
        <v>104</v>
      </c>
      <c r="B41" t="s">
        <v>133</v>
      </c>
      <c r="C41" t="s">
        <v>33</v>
      </c>
      <c r="D41">
        <v>2024</v>
      </c>
      <c r="E41" t="s">
        <v>123</v>
      </c>
      <c r="F41" t="s">
        <v>63</v>
      </c>
      <c r="H41" t="s">
        <v>8</v>
      </c>
    </row>
    <row r="42" spans="1:9" ht="23" customHeight="1" x14ac:dyDescent="0.2">
      <c r="A42" t="s">
        <v>104</v>
      </c>
      <c r="B42" t="s">
        <v>133</v>
      </c>
      <c r="C42" t="s">
        <v>33</v>
      </c>
      <c r="D42">
        <v>2024</v>
      </c>
      <c r="E42" t="s">
        <v>124</v>
      </c>
      <c r="F42" t="s">
        <v>64</v>
      </c>
      <c r="H42" t="s">
        <v>8</v>
      </c>
    </row>
    <row r="43" spans="1:9" ht="23" customHeight="1" x14ac:dyDescent="0.2">
      <c r="A43" t="s">
        <v>104</v>
      </c>
      <c r="B43" t="s">
        <v>133</v>
      </c>
      <c r="C43" t="s">
        <v>33</v>
      </c>
      <c r="D43">
        <v>2024</v>
      </c>
      <c r="E43" t="s">
        <v>124</v>
      </c>
      <c r="F43" t="s">
        <v>65</v>
      </c>
      <c r="H43" t="s">
        <v>8</v>
      </c>
    </row>
    <row r="44" spans="1:9" ht="23" customHeight="1" x14ac:dyDescent="0.2">
      <c r="A44" t="s">
        <v>104</v>
      </c>
      <c r="B44" t="s">
        <v>133</v>
      </c>
      <c r="C44" t="s">
        <v>33</v>
      </c>
      <c r="D44">
        <v>2024</v>
      </c>
      <c r="E44" t="s">
        <v>125</v>
      </c>
      <c r="F44" t="s">
        <v>126</v>
      </c>
      <c r="G44">
        <v>4313175</v>
      </c>
      <c r="H44" t="s">
        <v>122</v>
      </c>
      <c r="I44">
        <v>569339.1</v>
      </c>
    </row>
    <row r="45" spans="1:9" ht="23" customHeight="1" x14ac:dyDescent="0.2">
      <c r="A45" t="s">
        <v>104</v>
      </c>
      <c r="B45" t="s">
        <v>133</v>
      </c>
      <c r="C45" t="s">
        <v>33</v>
      </c>
      <c r="D45">
        <v>2024</v>
      </c>
      <c r="E45" t="s">
        <v>127</v>
      </c>
      <c r="F45" t="s">
        <v>128</v>
      </c>
      <c r="H45" t="s">
        <v>129</v>
      </c>
      <c r="I45">
        <v>203810.84512000004</v>
      </c>
    </row>
    <row r="46" spans="1:9" ht="23" customHeight="1" x14ac:dyDescent="0.2">
      <c r="A46" t="s">
        <v>104</v>
      </c>
      <c r="B46" t="s">
        <v>133</v>
      </c>
      <c r="C46" t="s">
        <v>33</v>
      </c>
      <c r="D46">
        <v>2024</v>
      </c>
      <c r="E46" t="s">
        <v>50</v>
      </c>
      <c r="F46" t="s">
        <v>130</v>
      </c>
      <c r="H46" t="s">
        <v>129</v>
      </c>
      <c r="I46">
        <v>876</v>
      </c>
    </row>
    <row r="47" spans="1:9" ht="23" customHeight="1" x14ac:dyDescent="0.2">
      <c r="A47" t="s">
        <v>104</v>
      </c>
      <c r="B47" t="s">
        <v>133</v>
      </c>
      <c r="C47" t="s">
        <v>33</v>
      </c>
      <c r="D47">
        <v>2024</v>
      </c>
      <c r="E47" t="s">
        <v>131</v>
      </c>
      <c r="F47" t="s">
        <v>131</v>
      </c>
      <c r="I47">
        <v>62965.326130903937</v>
      </c>
    </row>
    <row r="48" spans="1:9" ht="23" customHeight="1" x14ac:dyDescent="0.2">
      <c r="A48" t="s">
        <v>104</v>
      </c>
      <c r="B48" t="s">
        <v>133</v>
      </c>
      <c r="C48" t="s">
        <v>33</v>
      </c>
      <c r="D48">
        <v>2024</v>
      </c>
      <c r="E48" t="s">
        <v>140</v>
      </c>
      <c r="F48" t="s">
        <v>132</v>
      </c>
      <c r="I48">
        <v>11302.827000000001</v>
      </c>
    </row>
    <row r="49" spans="1:9" ht="23" customHeight="1" x14ac:dyDescent="0.2">
      <c r="A49" t="s">
        <v>104</v>
      </c>
      <c r="B49" t="s">
        <v>133</v>
      </c>
      <c r="C49" t="s">
        <v>33</v>
      </c>
      <c r="D49">
        <v>2024</v>
      </c>
      <c r="E49" t="s">
        <v>135</v>
      </c>
      <c r="F49" t="s">
        <v>136</v>
      </c>
      <c r="G49">
        <v>6671405</v>
      </c>
      <c r="H49" t="s">
        <v>122</v>
      </c>
    </row>
    <row r="50" spans="1:9" ht="23" customHeight="1" x14ac:dyDescent="0.2">
      <c r="A50" t="s">
        <v>104</v>
      </c>
      <c r="B50" t="s">
        <v>133</v>
      </c>
      <c r="C50" t="s">
        <v>33</v>
      </c>
      <c r="D50">
        <v>2024</v>
      </c>
      <c r="E50" t="s">
        <v>135</v>
      </c>
      <c r="F50" t="s">
        <v>137</v>
      </c>
      <c r="H50" t="s">
        <v>113</v>
      </c>
    </row>
    <row r="51" spans="1:9" ht="23" customHeight="1" x14ac:dyDescent="0.2">
      <c r="A51" t="s">
        <v>104</v>
      </c>
      <c r="B51" t="s">
        <v>133</v>
      </c>
      <c r="C51" t="s">
        <v>33</v>
      </c>
      <c r="D51">
        <v>2024</v>
      </c>
      <c r="E51" t="s">
        <v>135</v>
      </c>
      <c r="F51" t="s">
        <v>138</v>
      </c>
      <c r="H51" t="s">
        <v>113</v>
      </c>
    </row>
    <row r="52" spans="1:9" x14ac:dyDescent="0.2">
      <c r="A52" t="s">
        <v>104</v>
      </c>
      <c r="B52" t="s">
        <v>148</v>
      </c>
      <c r="C52" t="s">
        <v>33</v>
      </c>
      <c r="D52">
        <v>2024</v>
      </c>
      <c r="E52" t="s">
        <v>106</v>
      </c>
      <c r="F52" t="s">
        <v>147</v>
      </c>
      <c r="G52">
        <v>1456896</v>
      </c>
      <c r="H52" t="s">
        <v>42</v>
      </c>
      <c r="I52">
        <v>889998</v>
      </c>
    </row>
    <row r="53" spans="1:9" x14ac:dyDescent="0.2">
      <c r="A53" t="s">
        <v>104</v>
      </c>
      <c r="B53" t="s">
        <v>148</v>
      </c>
      <c r="C53" t="s">
        <v>33</v>
      </c>
      <c r="D53">
        <v>2024</v>
      </c>
      <c r="E53" t="s">
        <v>107</v>
      </c>
      <c r="F53" t="s">
        <v>108</v>
      </c>
      <c r="H53" t="s">
        <v>8</v>
      </c>
    </row>
    <row r="54" spans="1:9" x14ac:dyDescent="0.2">
      <c r="A54" t="s">
        <v>104</v>
      </c>
      <c r="B54" t="s">
        <v>148</v>
      </c>
      <c r="C54" t="s">
        <v>33</v>
      </c>
      <c r="D54">
        <v>2024</v>
      </c>
      <c r="E54" t="s">
        <v>107</v>
      </c>
      <c r="F54" t="s">
        <v>109</v>
      </c>
      <c r="H54" t="s">
        <v>8</v>
      </c>
    </row>
    <row r="55" spans="1:9" x14ac:dyDescent="0.2">
      <c r="A55" t="s">
        <v>104</v>
      </c>
      <c r="B55" t="s">
        <v>148</v>
      </c>
      <c r="C55" t="s">
        <v>33</v>
      </c>
      <c r="D55">
        <v>2024</v>
      </c>
      <c r="E55" t="s">
        <v>110</v>
      </c>
      <c r="F55" t="s">
        <v>110</v>
      </c>
      <c r="G55">
        <v>40000</v>
      </c>
      <c r="H55" t="s">
        <v>8</v>
      </c>
      <c r="I55">
        <v>10000</v>
      </c>
    </row>
    <row r="56" spans="1:9" x14ac:dyDescent="0.2">
      <c r="A56" t="s">
        <v>104</v>
      </c>
      <c r="B56" t="s">
        <v>148</v>
      </c>
      <c r="C56" t="s">
        <v>33</v>
      </c>
      <c r="D56">
        <v>2024</v>
      </c>
      <c r="E56" t="s">
        <v>111</v>
      </c>
      <c r="F56" t="s">
        <v>112</v>
      </c>
      <c r="G56">
        <v>250</v>
      </c>
      <c r="H56" t="s">
        <v>113</v>
      </c>
      <c r="I56">
        <v>400000</v>
      </c>
    </row>
    <row r="57" spans="1:9" x14ac:dyDescent="0.2">
      <c r="A57" t="s">
        <v>104</v>
      </c>
      <c r="B57" t="s">
        <v>148</v>
      </c>
      <c r="C57" t="s">
        <v>33</v>
      </c>
      <c r="D57">
        <v>2024</v>
      </c>
      <c r="E57" t="s">
        <v>111</v>
      </c>
      <c r="F57" t="s">
        <v>114</v>
      </c>
      <c r="G57">
        <v>400</v>
      </c>
      <c r="H57" t="s">
        <v>113</v>
      </c>
      <c r="I57">
        <v>3450</v>
      </c>
    </row>
    <row r="58" spans="1:9" x14ac:dyDescent="0.2">
      <c r="A58" t="s">
        <v>104</v>
      </c>
      <c r="B58" t="s">
        <v>148</v>
      </c>
      <c r="C58" t="s">
        <v>33</v>
      </c>
      <c r="D58">
        <v>2024</v>
      </c>
      <c r="E58" t="s">
        <v>111</v>
      </c>
      <c r="F58" t="s">
        <v>115</v>
      </c>
      <c r="G58">
        <v>1000</v>
      </c>
      <c r="H58" t="s">
        <v>116</v>
      </c>
      <c r="I58">
        <v>145000</v>
      </c>
    </row>
    <row r="59" spans="1:9" x14ac:dyDescent="0.2">
      <c r="A59" t="s">
        <v>104</v>
      </c>
      <c r="B59" t="s">
        <v>148</v>
      </c>
      <c r="C59" t="s">
        <v>33</v>
      </c>
      <c r="D59">
        <v>2024</v>
      </c>
      <c r="E59" t="s">
        <v>111</v>
      </c>
      <c r="F59" t="s">
        <v>144</v>
      </c>
      <c r="G59">
        <v>400</v>
      </c>
      <c r="H59" t="s">
        <v>113</v>
      </c>
      <c r="I59">
        <v>2584023</v>
      </c>
    </row>
    <row r="60" spans="1:9" x14ac:dyDescent="0.2">
      <c r="A60" t="s">
        <v>104</v>
      </c>
      <c r="B60" t="s">
        <v>148</v>
      </c>
      <c r="C60" t="s">
        <v>33</v>
      </c>
      <c r="D60">
        <v>2024</v>
      </c>
      <c r="E60" t="s">
        <v>51</v>
      </c>
      <c r="F60" t="s">
        <v>117</v>
      </c>
      <c r="H60" t="s">
        <v>8</v>
      </c>
    </row>
    <row r="61" spans="1:9" x14ac:dyDescent="0.2">
      <c r="A61" t="s">
        <v>104</v>
      </c>
      <c r="B61" t="s">
        <v>148</v>
      </c>
      <c r="C61" t="s">
        <v>33</v>
      </c>
      <c r="D61">
        <v>2024</v>
      </c>
      <c r="E61" t="s">
        <v>51</v>
      </c>
      <c r="F61" t="s">
        <v>118</v>
      </c>
      <c r="H61" t="s">
        <v>8</v>
      </c>
    </row>
    <row r="62" spans="1:9" x14ac:dyDescent="0.2">
      <c r="A62" t="s">
        <v>104</v>
      </c>
      <c r="B62" t="s">
        <v>148</v>
      </c>
      <c r="C62" t="s">
        <v>33</v>
      </c>
      <c r="D62">
        <v>2024</v>
      </c>
      <c r="E62" t="s">
        <v>95</v>
      </c>
      <c r="F62" t="s">
        <v>119</v>
      </c>
      <c r="H62" t="s">
        <v>120</v>
      </c>
    </row>
    <row r="63" spans="1:9" x14ac:dyDescent="0.2">
      <c r="A63" t="s">
        <v>104</v>
      </c>
      <c r="B63" t="s">
        <v>148</v>
      </c>
      <c r="C63" t="s">
        <v>33</v>
      </c>
      <c r="D63">
        <v>2024</v>
      </c>
      <c r="E63" t="s">
        <v>95</v>
      </c>
      <c r="F63" t="s">
        <v>121</v>
      </c>
      <c r="H63" t="s">
        <v>120</v>
      </c>
    </row>
    <row r="64" spans="1:9" x14ac:dyDescent="0.2">
      <c r="A64" t="s">
        <v>104</v>
      </c>
      <c r="B64" t="s">
        <v>148</v>
      </c>
      <c r="C64" t="s">
        <v>33</v>
      </c>
      <c r="D64">
        <v>2024</v>
      </c>
      <c r="E64" s="131" t="s">
        <v>141</v>
      </c>
      <c r="F64" t="s">
        <v>134</v>
      </c>
      <c r="H64" t="s">
        <v>122</v>
      </c>
      <c r="I64">
        <v>30000000</v>
      </c>
    </row>
    <row r="65" spans="1:9" x14ac:dyDescent="0.2">
      <c r="A65" t="s">
        <v>104</v>
      </c>
      <c r="B65" t="s">
        <v>148</v>
      </c>
      <c r="C65" t="s">
        <v>33</v>
      </c>
      <c r="D65">
        <v>2024</v>
      </c>
      <c r="E65" t="s">
        <v>123</v>
      </c>
      <c r="F65" t="s">
        <v>62</v>
      </c>
      <c r="H65" t="s">
        <v>8</v>
      </c>
    </row>
    <row r="66" spans="1:9" x14ac:dyDescent="0.2">
      <c r="A66" t="s">
        <v>104</v>
      </c>
      <c r="B66" t="s">
        <v>148</v>
      </c>
      <c r="C66" t="s">
        <v>33</v>
      </c>
      <c r="D66">
        <v>2024</v>
      </c>
      <c r="E66" t="s">
        <v>123</v>
      </c>
      <c r="F66" t="s">
        <v>63</v>
      </c>
      <c r="H66" t="s">
        <v>8</v>
      </c>
    </row>
    <row r="67" spans="1:9" x14ac:dyDescent="0.2">
      <c r="A67" t="s">
        <v>104</v>
      </c>
      <c r="B67" t="s">
        <v>148</v>
      </c>
      <c r="C67" t="s">
        <v>33</v>
      </c>
      <c r="D67">
        <v>2024</v>
      </c>
      <c r="E67" t="s">
        <v>124</v>
      </c>
      <c r="F67" t="s">
        <v>64</v>
      </c>
      <c r="H67" t="s">
        <v>8</v>
      </c>
    </row>
    <row r="68" spans="1:9" x14ac:dyDescent="0.2">
      <c r="A68" t="s">
        <v>104</v>
      </c>
      <c r="B68" t="s">
        <v>148</v>
      </c>
      <c r="C68" t="s">
        <v>33</v>
      </c>
      <c r="D68">
        <v>2024</v>
      </c>
      <c r="E68" t="s">
        <v>124</v>
      </c>
      <c r="F68" t="s">
        <v>65</v>
      </c>
      <c r="H68" t="s">
        <v>8</v>
      </c>
    </row>
    <row r="69" spans="1:9" x14ac:dyDescent="0.2">
      <c r="A69" t="s">
        <v>104</v>
      </c>
      <c r="B69" t="s">
        <v>148</v>
      </c>
      <c r="C69" t="s">
        <v>33</v>
      </c>
      <c r="D69">
        <v>2024</v>
      </c>
      <c r="E69" t="s">
        <v>125</v>
      </c>
      <c r="F69" t="s">
        <v>126</v>
      </c>
      <c r="G69">
        <v>9201822</v>
      </c>
      <c r="H69" t="s">
        <v>122</v>
      </c>
      <c r="I69">
        <v>999999</v>
      </c>
    </row>
    <row r="70" spans="1:9" x14ac:dyDescent="0.2">
      <c r="A70" t="s">
        <v>104</v>
      </c>
      <c r="B70" t="s">
        <v>148</v>
      </c>
      <c r="C70" t="s">
        <v>33</v>
      </c>
      <c r="D70">
        <v>2024</v>
      </c>
      <c r="E70" t="s">
        <v>127</v>
      </c>
      <c r="F70" t="s">
        <v>128</v>
      </c>
      <c r="H70" t="s">
        <v>129</v>
      </c>
      <c r="I70">
        <v>650000</v>
      </c>
    </row>
    <row r="71" spans="1:9" x14ac:dyDescent="0.2">
      <c r="A71" t="s">
        <v>104</v>
      </c>
      <c r="B71" t="s">
        <v>148</v>
      </c>
      <c r="C71" t="s">
        <v>33</v>
      </c>
      <c r="D71">
        <v>2024</v>
      </c>
      <c r="E71" t="s">
        <v>50</v>
      </c>
      <c r="F71" t="s">
        <v>130</v>
      </c>
      <c r="H71" t="s">
        <v>129</v>
      </c>
      <c r="I71">
        <v>150421</v>
      </c>
    </row>
    <row r="72" spans="1:9" x14ac:dyDescent="0.2">
      <c r="A72" t="s">
        <v>104</v>
      </c>
      <c r="B72" t="s">
        <v>148</v>
      </c>
      <c r="C72" t="s">
        <v>33</v>
      </c>
      <c r="D72">
        <v>2024</v>
      </c>
      <c r="E72" t="s">
        <v>131</v>
      </c>
      <c r="F72" t="s">
        <v>131</v>
      </c>
      <c r="I72">
        <v>120564</v>
      </c>
    </row>
    <row r="73" spans="1:9" x14ac:dyDescent="0.2">
      <c r="A73" t="s">
        <v>104</v>
      </c>
      <c r="B73" t="s">
        <v>148</v>
      </c>
      <c r="C73" t="s">
        <v>33</v>
      </c>
      <c r="D73">
        <v>2024</v>
      </c>
      <c r="E73" t="s">
        <v>140</v>
      </c>
      <c r="F73" t="s">
        <v>132</v>
      </c>
      <c r="I73">
        <v>9865</v>
      </c>
    </row>
    <row r="74" spans="1:9" x14ac:dyDescent="0.2">
      <c r="A74" t="s">
        <v>104</v>
      </c>
      <c r="B74" t="s">
        <v>148</v>
      </c>
      <c r="C74" t="s">
        <v>33</v>
      </c>
      <c r="D74">
        <v>2024</v>
      </c>
      <c r="E74" t="s">
        <v>135</v>
      </c>
      <c r="F74" t="s">
        <v>136</v>
      </c>
      <c r="G74">
        <v>1958462</v>
      </c>
      <c r="H74" t="s">
        <v>122</v>
      </c>
    </row>
    <row r="75" spans="1:9" x14ac:dyDescent="0.2">
      <c r="A75" t="s">
        <v>104</v>
      </c>
      <c r="B75" t="s">
        <v>148</v>
      </c>
      <c r="C75" t="s">
        <v>33</v>
      </c>
      <c r="D75">
        <v>2024</v>
      </c>
      <c r="E75" t="s">
        <v>135</v>
      </c>
      <c r="F75" t="s">
        <v>137</v>
      </c>
      <c r="H75" t="s">
        <v>113</v>
      </c>
    </row>
    <row r="76" spans="1:9" x14ac:dyDescent="0.2">
      <c r="A76" t="s">
        <v>104</v>
      </c>
      <c r="B76" t="s">
        <v>148</v>
      </c>
      <c r="C76" t="s">
        <v>33</v>
      </c>
      <c r="D76">
        <v>2024</v>
      </c>
      <c r="E76" t="s">
        <v>135</v>
      </c>
      <c r="F76" t="s">
        <v>138</v>
      </c>
      <c r="H76" t="s">
        <v>113</v>
      </c>
    </row>
    <row r="77" spans="1:9" x14ac:dyDescent="0.2">
      <c r="A77" t="s">
        <v>104</v>
      </c>
      <c r="B77" t="s">
        <v>148</v>
      </c>
      <c r="C77" t="s">
        <v>34</v>
      </c>
      <c r="D77">
        <v>2024</v>
      </c>
      <c r="E77" s="131" t="s">
        <v>106</v>
      </c>
      <c r="F77" s="131" t="s">
        <v>147</v>
      </c>
      <c r="G77">
        <v>344143</v>
      </c>
      <c r="H77" t="s">
        <v>42</v>
      </c>
      <c r="I77" s="189">
        <v>19960.293999999998</v>
      </c>
    </row>
    <row r="78" spans="1:9" x14ac:dyDescent="0.2">
      <c r="A78" t="s">
        <v>104</v>
      </c>
      <c r="B78" t="s">
        <v>148</v>
      </c>
      <c r="C78" t="s">
        <v>34</v>
      </c>
      <c r="D78">
        <v>2024</v>
      </c>
      <c r="E78" s="131" t="s">
        <v>107</v>
      </c>
      <c r="F78" s="131" t="s">
        <v>108</v>
      </c>
      <c r="G78">
        <v>19.220096999999999</v>
      </c>
      <c r="H78" t="s">
        <v>8</v>
      </c>
      <c r="I78" s="190">
        <v>5247.0864809999994</v>
      </c>
    </row>
    <row r="79" spans="1:9" x14ac:dyDescent="0.2">
      <c r="A79" t="s">
        <v>104</v>
      </c>
      <c r="B79" t="s">
        <v>148</v>
      </c>
      <c r="C79" t="s">
        <v>34</v>
      </c>
      <c r="D79">
        <v>2024</v>
      </c>
      <c r="E79" s="131" t="s">
        <v>107</v>
      </c>
      <c r="F79" s="131" t="s">
        <v>109</v>
      </c>
      <c r="G79">
        <v>43.544499999999999</v>
      </c>
      <c r="H79" t="s">
        <v>8</v>
      </c>
      <c r="I79" s="190">
        <v>1214.8915499999998</v>
      </c>
    </row>
    <row r="80" spans="1:9" x14ac:dyDescent="0.2">
      <c r="A80" t="s">
        <v>104</v>
      </c>
      <c r="B80" t="s">
        <v>148</v>
      </c>
      <c r="C80" t="s">
        <v>34</v>
      </c>
      <c r="D80">
        <v>2024</v>
      </c>
      <c r="E80" s="131" t="s">
        <v>110</v>
      </c>
      <c r="F80" t="s">
        <v>110</v>
      </c>
      <c r="G80">
        <v>30869</v>
      </c>
      <c r="H80" t="s">
        <v>8</v>
      </c>
      <c r="I80">
        <v>23653.119999999999</v>
      </c>
    </row>
    <row r="81" spans="1:9" x14ac:dyDescent="0.2">
      <c r="A81" t="s">
        <v>104</v>
      </c>
      <c r="B81" t="s">
        <v>148</v>
      </c>
      <c r="C81" t="s">
        <v>34</v>
      </c>
      <c r="D81">
        <v>2024</v>
      </c>
      <c r="E81" s="131" t="s">
        <v>111</v>
      </c>
      <c r="F81" s="131" t="s">
        <v>149</v>
      </c>
      <c r="G81">
        <v>0</v>
      </c>
      <c r="H81" t="s">
        <v>116</v>
      </c>
      <c r="I81" s="189">
        <v>1234</v>
      </c>
    </row>
    <row r="82" spans="1:9" x14ac:dyDescent="0.2">
      <c r="A82" t="s">
        <v>104</v>
      </c>
      <c r="B82" t="s">
        <v>148</v>
      </c>
      <c r="C82" t="s">
        <v>34</v>
      </c>
      <c r="D82">
        <v>2024</v>
      </c>
      <c r="E82" s="131" t="s">
        <v>111</v>
      </c>
      <c r="F82" s="131" t="s">
        <v>150</v>
      </c>
      <c r="G82">
        <v>0</v>
      </c>
      <c r="H82" t="s">
        <v>116</v>
      </c>
      <c r="I82" s="189">
        <v>456</v>
      </c>
    </row>
    <row r="83" spans="1:9" x14ac:dyDescent="0.2">
      <c r="A83" t="s">
        <v>104</v>
      </c>
      <c r="B83" t="s">
        <v>148</v>
      </c>
      <c r="C83" t="s">
        <v>34</v>
      </c>
      <c r="D83">
        <v>2024</v>
      </c>
      <c r="E83" s="131" t="s">
        <v>111</v>
      </c>
      <c r="F83" s="131" t="s">
        <v>151</v>
      </c>
      <c r="G83">
        <v>0</v>
      </c>
      <c r="H83" t="s">
        <v>113</v>
      </c>
      <c r="I83" s="189">
        <v>7415</v>
      </c>
    </row>
    <row r="84" spans="1:9" x14ac:dyDescent="0.2">
      <c r="A84" t="s">
        <v>104</v>
      </c>
      <c r="B84" t="s">
        <v>148</v>
      </c>
      <c r="C84" t="s">
        <v>34</v>
      </c>
      <c r="D84">
        <v>2024</v>
      </c>
      <c r="E84" s="131" t="s">
        <v>111</v>
      </c>
      <c r="F84" s="131" t="s">
        <v>115</v>
      </c>
      <c r="G84">
        <v>0</v>
      </c>
      <c r="H84" t="s">
        <v>116</v>
      </c>
      <c r="I84" s="189">
        <v>789</v>
      </c>
    </row>
    <row r="85" spans="1:9" x14ac:dyDescent="0.2">
      <c r="A85" t="s">
        <v>104</v>
      </c>
      <c r="B85" t="s">
        <v>148</v>
      </c>
      <c r="C85" t="s">
        <v>34</v>
      </c>
      <c r="D85">
        <v>2024</v>
      </c>
      <c r="E85" s="131" t="s">
        <v>111</v>
      </c>
      <c r="F85" s="131" t="s">
        <v>152</v>
      </c>
      <c r="G85">
        <v>0</v>
      </c>
      <c r="H85" t="s">
        <v>113</v>
      </c>
      <c r="I85" s="189">
        <v>24</v>
      </c>
    </row>
    <row r="86" spans="1:9" x14ac:dyDescent="0.2">
      <c r="A86" t="s">
        <v>104</v>
      </c>
      <c r="B86" t="s">
        <v>148</v>
      </c>
      <c r="C86" t="s">
        <v>34</v>
      </c>
      <c r="D86">
        <v>2024</v>
      </c>
      <c r="E86" s="131" t="s">
        <v>51</v>
      </c>
      <c r="F86" s="131" t="s">
        <v>117</v>
      </c>
      <c r="G86">
        <v>4004</v>
      </c>
      <c r="H86" t="s">
        <v>8</v>
      </c>
      <c r="I86">
        <v>1475.4739999999999</v>
      </c>
    </row>
    <row r="87" spans="1:9" x14ac:dyDescent="0.2">
      <c r="A87" t="s">
        <v>104</v>
      </c>
      <c r="B87" t="s">
        <v>148</v>
      </c>
      <c r="C87" t="s">
        <v>34</v>
      </c>
      <c r="D87">
        <v>2024</v>
      </c>
      <c r="E87" s="131" t="s">
        <v>51</v>
      </c>
      <c r="F87" s="131" t="s">
        <v>118</v>
      </c>
      <c r="G87">
        <v>8400</v>
      </c>
      <c r="H87" t="s">
        <v>8</v>
      </c>
      <c r="I87">
        <v>109.2</v>
      </c>
    </row>
    <row r="88" spans="1:9" x14ac:dyDescent="0.2">
      <c r="A88" t="s">
        <v>104</v>
      </c>
      <c r="B88" t="s">
        <v>148</v>
      </c>
      <c r="C88" t="s">
        <v>34</v>
      </c>
      <c r="D88">
        <v>2024</v>
      </c>
      <c r="E88" s="131" t="s">
        <v>95</v>
      </c>
      <c r="F88" s="131" t="s">
        <v>119</v>
      </c>
      <c r="G88">
        <v>0</v>
      </c>
      <c r="H88" t="s">
        <v>120</v>
      </c>
      <c r="I88">
        <v>0</v>
      </c>
    </row>
    <row r="89" spans="1:9" x14ac:dyDescent="0.2">
      <c r="A89" t="s">
        <v>104</v>
      </c>
      <c r="B89" t="s">
        <v>148</v>
      </c>
      <c r="C89" t="s">
        <v>34</v>
      </c>
      <c r="D89">
        <v>2024</v>
      </c>
      <c r="E89" s="131" t="s">
        <v>95</v>
      </c>
      <c r="F89" s="131" t="s">
        <v>121</v>
      </c>
      <c r="G89">
        <v>487.85714285714278</v>
      </c>
      <c r="H89" t="s">
        <v>153</v>
      </c>
      <c r="I89">
        <v>63.842793</v>
      </c>
    </row>
    <row r="90" spans="1:9" x14ac:dyDescent="0.2">
      <c r="A90" t="s">
        <v>104</v>
      </c>
      <c r="B90" t="s">
        <v>148</v>
      </c>
      <c r="C90" t="s">
        <v>34</v>
      </c>
      <c r="D90">
        <v>2024</v>
      </c>
      <c r="E90" s="131" t="s">
        <v>45</v>
      </c>
      <c r="F90" s="131" t="s">
        <v>154</v>
      </c>
      <c r="G90">
        <v>370.65062399999999</v>
      </c>
      <c r="H90" t="s">
        <v>8</v>
      </c>
      <c r="I90">
        <v>101187.620352</v>
      </c>
    </row>
    <row r="91" spans="1:9" x14ac:dyDescent="0.2">
      <c r="A91" t="s">
        <v>104</v>
      </c>
      <c r="B91" t="s">
        <v>148</v>
      </c>
      <c r="C91" t="s">
        <v>34</v>
      </c>
      <c r="D91">
        <v>2024</v>
      </c>
      <c r="E91" s="131" t="s">
        <v>123</v>
      </c>
      <c r="F91" t="s">
        <v>62</v>
      </c>
      <c r="G91">
        <v>0.68192950000000008</v>
      </c>
      <c r="H91" t="s">
        <v>8</v>
      </c>
      <c r="I91">
        <v>186.16675350000003</v>
      </c>
    </row>
    <row r="92" spans="1:9" x14ac:dyDescent="0.2">
      <c r="A92" t="s">
        <v>104</v>
      </c>
      <c r="B92" t="s">
        <v>148</v>
      </c>
      <c r="C92" t="s">
        <v>34</v>
      </c>
      <c r="D92">
        <v>2024</v>
      </c>
      <c r="E92" s="131" t="s">
        <v>123</v>
      </c>
      <c r="F92" t="s">
        <v>63</v>
      </c>
      <c r="G92">
        <v>308.35200000000003</v>
      </c>
      <c r="H92" t="s">
        <v>8</v>
      </c>
      <c r="I92">
        <v>8603.0208000000002</v>
      </c>
    </row>
    <row r="93" spans="1:9" x14ac:dyDescent="0.2">
      <c r="A93" t="s">
        <v>104</v>
      </c>
      <c r="B93" t="s">
        <v>148</v>
      </c>
      <c r="C93" t="s">
        <v>34</v>
      </c>
      <c r="D93">
        <v>2024</v>
      </c>
      <c r="E93" s="131" t="s">
        <v>124</v>
      </c>
      <c r="F93" t="s">
        <v>64</v>
      </c>
      <c r="G93" s="190">
        <v>23</v>
      </c>
      <c r="H93" t="s">
        <v>8</v>
      </c>
      <c r="I93">
        <v>4151</v>
      </c>
    </row>
    <row r="94" spans="1:9" x14ac:dyDescent="0.2">
      <c r="A94" t="s">
        <v>104</v>
      </c>
      <c r="B94" t="s">
        <v>148</v>
      </c>
      <c r="C94" t="s">
        <v>34</v>
      </c>
      <c r="D94">
        <v>2024</v>
      </c>
      <c r="E94" s="131" t="s">
        <v>124</v>
      </c>
      <c r="F94" t="s">
        <v>65</v>
      </c>
      <c r="G94" s="190">
        <v>690</v>
      </c>
      <c r="H94" t="s">
        <v>8</v>
      </c>
      <c r="I94">
        <v>1478</v>
      </c>
    </row>
    <row r="95" spans="1:9" x14ac:dyDescent="0.2">
      <c r="A95" t="s">
        <v>104</v>
      </c>
      <c r="B95" t="s">
        <v>148</v>
      </c>
      <c r="C95" t="s">
        <v>34</v>
      </c>
      <c r="D95">
        <v>2024</v>
      </c>
      <c r="E95" s="131" t="s">
        <v>125</v>
      </c>
      <c r="F95" s="131" t="s">
        <v>126</v>
      </c>
      <c r="H95" t="s">
        <v>122</v>
      </c>
      <c r="I95" s="189"/>
    </row>
    <row r="96" spans="1:9" x14ac:dyDescent="0.2">
      <c r="A96" t="s">
        <v>104</v>
      </c>
      <c r="B96" t="s">
        <v>148</v>
      </c>
      <c r="C96" t="s">
        <v>34</v>
      </c>
      <c r="D96">
        <v>2024</v>
      </c>
      <c r="E96" s="131" t="s">
        <v>127</v>
      </c>
      <c r="F96" s="131" t="s">
        <v>128</v>
      </c>
      <c r="H96" t="s">
        <v>129</v>
      </c>
      <c r="I96" s="189">
        <v>0</v>
      </c>
    </row>
    <row r="97" spans="1:9" x14ac:dyDescent="0.2">
      <c r="A97" t="s">
        <v>104</v>
      </c>
      <c r="B97" t="s">
        <v>148</v>
      </c>
      <c r="C97" t="s">
        <v>34</v>
      </c>
      <c r="D97">
        <v>2024</v>
      </c>
      <c r="E97" s="131" t="s">
        <v>50</v>
      </c>
      <c r="F97" s="131" t="s">
        <v>130</v>
      </c>
      <c r="H97" t="s">
        <v>129</v>
      </c>
      <c r="I97" s="189">
        <v>0</v>
      </c>
    </row>
    <row r="98" spans="1:9" x14ac:dyDescent="0.2">
      <c r="A98" t="s">
        <v>104</v>
      </c>
      <c r="B98" t="s">
        <v>148</v>
      </c>
      <c r="C98" t="s">
        <v>34</v>
      </c>
      <c r="D98">
        <v>2024</v>
      </c>
      <c r="E98" s="131" t="s">
        <v>131</v>
      </c>
      <c r="F98" s="131" t="s">
        <v>131</v>
      </c>
      <c r="I98" s="189">
        <v>0</v>
      </c>
    </row>
    <row r="99" spans="1:9" x14ac:dyDescent="0.2">
      <c r="A99" t="s">
        <v>104</v>
      </c>
      <c r="B99" t="s">
        <v>148</v>
      </c>
      <c r="C99" t="s">
        <v>34</v>
      </c>
      <c r="D99">
        <v>2024</v>
      </c>
      <c r="E99" s="131" t="s">
        <v>140</v>
      </c>
      <c r="F99" s="131" t="s">
        <v>132</v>
      </c>
      <c r="I99" s="189">
        <v>0</v>
      </c>
    </row>
    <row r="100" spans="1:9" x14ac:dyDescent="0.2">
      <c r="A100" t="s">
        <v>104</v>
      </c>
      <c r="B100" t="s">
        <v>148</v>
      </c>
      <c r="C100" t="s">
        <v>34</v>
      </c>
      <c r="D100">
        <v>2024</v>
      </c>
      <c r="E100" t="s">
        <v>135</v>
      </c>
      <c r="F100" t="s">
        <v>155</v>
      </c>
      <c r="G100" s="189">
        <v>272462</v>
      </c>
      <c r="H100" t="s">
        <v>122</v>
      </c>
      <c r="I100" s="189"/>
    </row>
    <row r="101" spans="1:9" x14ac:dyDescent="0.2">
      <c r="A101" t="s">
        <v>104</v>
      </c>
      <c r="B101" t="s">
        <v>148</v>
      </c>
      <c r="C101" t="s">
        <v>34</v>
      </c>
      <c r="D101">
        <v>2024</v>
      </c>
      <c r="E101" t="s">
        <v>135</v>
      </c>
      <c r="F101" t="s">
        <v>137</v>
      </c>
      <c r="G101">
        <v>0</v>
      </c>
      <c r="H101" t="s">
        <v>113</v>
      </c>
    </row>
    <row r="102" spans="1:9" x14ac:dyDescent="0.2">
      <c r="A102" t="s">
        <v>104</v>
      </c>
      <c r="B102" t="s">
        <v>148</v>
      </c>
      <c r="C102" t="s">
        <v>34</v>
      </c>
      <c r="D102">
        <v>2024</v>
      </c>
      <c r="E102" t="s">
        <v>135</v>
      </c>
      <c r="F102" t="s">
        <v>138</v>
      </c>
      <c r="G102">
        <v>0</v>
      </c>
      <c r="H102" t="s">
        <v>113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3B461-BB01-4798-919A-73E50E932713}">
  <sheetPr codeName="Feuil1">
    <tabColor theme="5"/>
  </sheetPr>
  <dimension ref="A1:AH36"/>
  <sheetViews>
    <sheetView showGridLines="0" zoomScale="89" zoomScaleNormal="145" workbookViewId="0">
      <selection activeCell="G32" sqref="G32"/>
    </sheetView>
  </sheetViews>
  <sheetFormatPr baseColWidth="10" defaultRowHeight="16" x14ac:dyDescent="0.2"/>
  <cols>
    <col min="1" max="1" width="12.42578125" customWidth="1"/>
    <col min="2" max="2" width="14.140625" bestFit="1" customWidth="1"/>
    <col min="3" max="3" width="13.5703125" customWidth="1"/>
    <col min="4" max="4" width="13.85546875" customWidth="1"/>
    <col min="5" max="5" width="11.7109375" bestFit="1" customWidth="1"/>
    <col min="6" max="6" width="17.5703125" customWidth="1"/>
  </cols>
  <sheetData>
    <row r="1" spans="1:34" ht="75" customHeight="1" x14ac:dyDescent="0.2">
      <c r="A1" s="14"/>
      <c r="B1" s="111" t="str">
        <f>"Résutats globaux - " &amp;DATA!A2</f>
        <v>Résutats globaux - La Réunion</v>
      </c>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row>
    <row r="2" spans="1:34" ht="33" customHeight="1" thickBot="1" x14ac:dyDescent="0.25"/>
    <row r="3" spans="1:34" ht="17" thickBot="1" x14ac:dyDescent="0.25">
      <c r="B3" s="129" t="s">
        <v>68</v>
      </c>
      <c r="C3" s="12" t="s">
        <v>33</v>
      </c>
      <c r="D3" s="13" t="s">
        <v>34</v>
      </c>
      <c r="E3" s="47" t="s">
        <v>11</v>
      </c>
    </row>
    <row r="4" spans="1:34" x14ac:dyDescent="0.2">
      <c r="B4" s="11" t="str" cm="1">
        <f t="array" ref="B4:B6">_xlfn.UNIQUE(Tableau1[Lot])</f>
        <v>CA SUD</v>
      </c>
      <c r="C4" s="125">
        <f>IF(SUMIFS(Tableau1[Emissions_kgCO2],Tableau1[Lot],Indicateurs!$B$4,Tableau1[Entité],Indicateurs!$C$3)
- SUMIFS(Tableau1[Emissions_kgCO2],Tableau1[Lot],Indicateurs!$B$4,Tableau1[Entité],Indicateurs!$C$3,Tableau1[Poste],"Chauffage de l'eau part le client")&lt;0,0,SUMIFS(Tableau1[Emissions_kgCO2],Tableau1[Lot],Indicateurs!$B$4,Tableau1[Entité],Indicateurs!$C$3)
- SUMIFS(Tableau1[Emissions_kgCO2],Tableau1[Lot],Indicateurs!$B$4,Tableau1[Entité],Indicateurs!$C$3,Tableau1[Poste],"Chauffage de l'eau part le client"))</f>
        <v>7851075.3308148757</v>
      </c>
      <c r="D4" s="126">
        <f>IF(SUMIFS(Tableau1[Emissions_kgCO2],Tableau1[Lot],Indicateurs!$B$4,Tableau1[Entité],Indicateurs!$D$3)
- SUMIFS(Tableau1[Emissions_kgCO2],Tableau1[Lot],Indicateurs!$B$4,Tableau1[Entité],Indicateurs!$D$3,Tableau1[Poste],"Chauffage de l'eau part le client")&lt;0,0,SUMIFS(Tableau1[Emissions_kgCO2],Tableau1[Lot],Indicateurs!$B$4,Tableau1[Entité],Indicateurs!$D$3)
- SUMIFS(Tableau1[Emissions_kgCO2],Tableau1[Lot],Indicateurs!$B$4,Tableau1[Entité],Indicateurs!$D$3,Tableau1[Poste],"Chauffage de l'eau part le client"))</f>
        <v>0</v>
      </c>
      <c r="E4" s="121">
        <f>SUM(C4:D4)</f>
        <v>7851075.3308148757</v>
      </c>
      <c r="G4" s="3"/>
    </row>
    <row r="5" spans="1:34" x14ac:dyDescent="0.2">
      <c r="B5" s="9" t="str">
        <v xml:space="preserve"> St-Leu</v>
      </c>
      <c r="C5" s="91">
        <f>IF(SUMIFS(Tableau1[Emissions_kgCO2],Tableau1[Lot],Indicateurs!$B$5,Tableau1[Entité],Indicateurs!$C$3)
- SUMIFS(Tableau1[Emissions_kgCO2],Tableau1[Lot],Indicateurs!$B$5,Tableau1[Entité],Indicateurs!$C$3,Tableau1[Poste],"Chauffage de l'eau part le client")&lt;0,0,SUMIFS(Tableau1[Emissions_kgCO2],Tableau1[Lot],Indicateurs!$B$5,Tableau1[Entité],Indicateurs!$C$3)
- SUMIFS(Tableau1[Emissions_kgCO2],Tableau1[Lot],Indicateurs!$B$5,Tableau1[Entité],Indicateurs!$C$3,Tableau1[Poste],"Chauffage de l'eau part le client"))</f>
        <v>2665562.4596109036</v>
      </c>
      <c r="D5" s="109">
        <f>IF(SUMIFS(Tableau1[Emissions_kgCO2],Tableau1[Lot],Indicateurs!$B$5,Tableau1[Entité],Indicateurs!$D$3)
- SUMIFS(Tableau1[Emissions_kgCO2],Tableau1[Lot],Indicateurs!$B$5,Tableau1[Entité],Indicateurs!$D$3,Tableau1[Poste],"Chauffage de l'eau part le client")&lt;0,0,SUMIFS(Tableau1[Emissions_kgCO2],Tableau1[Lot],Indicateurs!$B$5,Tableau1[Entité],Indicateurs!$D$3)
- SUMIFS(Tableau1[Emissions_kgCO2],Tableau1[Lot],Indicateurs!$B$5,Tableau1[Entité],Indicateurs!$D$3,Tableau1[Poste],"Chauffage de l'eau part le client"))</f>
        <v>0</v>
      </c>
      <c r="E5" s="122">
        <f>SUM(C5:D5)</f>
        <v>2665562.4596109036</v>
      </c>
    </row>
    <row r="6" spans="1:34" ht="17" thickBot="1" x14ac:dyDescent="0.25">
      <c r="B6" s="9" t="str">
        <v>CiNOR</v>
      </c>
      <c r="C6" s="127">
        <f>IF(SUMIFS(Tableau1[Emissions_kgCO2],Tableau1[Lot],Indicateurs!$B$6,Tableau1[Entité],Indicateurs!$C$3)
- SUMIFS(Tableau1[Emissions_kgCO2],Tableau1[Lot],Indicateurs!$B$6,Tableau1[Entité],Indicateurs!$C$3,Tableau1[Poste],"Chauffage de l'eau part le client")&lt;0,0,SUMIFS(Tableau1[Emissions_kgCO2],Tableau1[Lot],Indicateurs!$B$6,Tableau1[Entité],Indicateurs!$C$3)
- SUMIFS(Tableau1[Emissions_kgCO2],Tableau1[Lot],Indicateurs!$B$6,Tableau1[Entité],Indicateurs!$C$3,Tableau1[Poste],"Chauffage de l'eau part le client"))</f>
        <v>5963320</v>
      </c>
      <c r="D6" s="128">
        <f>IF(SUMIFS(Tableau1[Emissions_kgCO2],Tableau1[Lot],Indicateurs!$B$6,Tableau1[Entité],Indicateurs!$D$3)
- SUMIFS(Tableau1[Emissions_kgCO2],Tableau1[Lot],Indicateurs!$B$6,Tableau1[Entité],Indicateurs!$D$3,Tableau1[Poste],"Chauffage de l'eau part le client")&lt;0,0,SUMIFS(Tableau1[Emissions_kgCO2],Tableau1[Lot],Indicateurs!$B$6,Tableau1[Entité],Indicateurs!$D$3)
- SUMIFS(Tableau1[Emissions_kgCO2],Tableau1[Lot],Indicateurs!$B$6,Tableau1[Entité],Indicateurs!$D$3,Tableau1[Poste],"Chauffage de l'eau part le client"))</f>
        <v>177247.71672949998</v>
      </c>
      <c r="E6" s="122"/>
    </row>
    <row r="7" spans="1:34" ht="17" thickBot="1" x14ac:dyDescent="0.25">
      <c r="B7" s="10" t="s">
        <v>11</v>
      </c>
      <c r="C7" s="123">
        <f>SUM(C4:C5)</f>
        <v>10516637.790425779</v>
      </c>
      <c r="D7" s="124">
        <f>SUM(D4:D5)</f>
        <v>0</v>
      </c>
      <c r="E7" s="52">
        <f>SUM(E4:E5)</f>
        <v>10516637.790425779</v>
      </c>
    </row>
    <row r="8" spans="1:34" ht="17" thickBot="1" x14ac:dyDescent="0.25">
      <c r="C8" s="74" t="s">
        <v>81</v>
      </c>
      <c r="D8" s="74" t="s">
        <v>80</v>
      </c>
    </row>
    <row r="9" spans="1:34" ht="17" thickBot="1" x14ac:dyDescent="0.25">
      <c r="B9" s="130" t="s">
        <v>54</v>
      </c>
      <c r="C9" s="12" t="s">
        <v>33</v>
      </c>
      <c r="D9" s="13" t="s">
        <v>34</v>
      </c>
      <c r="F9" s="130" t="s">
        <v>56</v>
      </c>
      <c r="G9" s="12" t="s">
        <v>33</v>
      </c>
      <c r="H9" s="13" t="s">
        <v>34</v>
      </c>
    </row>
    <row r="10" spans="1:34" x14ac:dyDescent="0.2">
      <c r="B10" s="11" t="str" cm="1">
        <f t="array" ref="B10:B12">_xlfn.UNIQUE(Tableau1[Lot])</f>
        <v>CA SUD</v>
      </c>
      <c r="C10" s="115">
        <f>SUMIFS(Tableau1[Quantité],Tableau1[Lot],Indicateurs!$B$10,Tableau1[Entité],Indicateurs!$C$9,Tableau1[Poste],"m3 d'eau distribués")</f>
        <v>21959610</v>
      </c>
      <c r="D10" s="116">
        <f>SUMIFS(Tableau1[Quantité],Tableau1[Lot],Indicateurs!$B$10,Tableau1[Entité],Indicateurs!$D$9,Tableau1[Poste],"m3 d'eau assainis")</f>
        <v>0</v>
      </c>
      <c r="F10" s="11" t="str" cm="1">
        <f t="array" ref="F10:F12">_xlfn.UNIQUE(Tableau1[Lot])</f>
        <v>CA SUD</v>
      </c>
      <c r="G10" s="92">
        <f t="shared" ref="G10:H13" si="0">C4*1000/C10</f>
        <v>357.52344102718013</v>
      </c>
      <c r="H10" s="119" t="e">
        <f t="shared" si="0"/>
        <v>#DIV/0!</v>
      </c>
    </row>
    <row r="11" spans="1:34" x14ac:dyDescent="0.2">
      <c r="B11" s="9" t="str">
        <v xml:space="preserve"> St-Leu</v>
      </c>
      <c r="C11" s="42">
        <f>SUMIFS(Tableau1[Quantité],Tableau1[Lot],Indicateurs!$B$11,Tableau1[Entité],Indicateurs!$C$9,Tableau1[Poste],"m3 d'eau distribués")</f>
        <v>6671405</v>
      </c>
      <c r="D11" s="43">
        <f>SUMIFS(Tableau1[Quantité],Tableau1[Lot],Indicateurs!$B$11,Tableau1[Entité],Indicateurs!$D$9,Tableau1[Poste],"m3 d'eau assainis")</f>
        <v>0</v>
      </c>
      <c r="F11" s="9" t="str">
        <v xml:space="preserve"> St-Leu</v>
      </c>
      <c r="G11" s="93">
        <f t="shared" si="0"/>
        <v>399.55038850300707</v>
      </c>
      <c r="H11" s="94" t="e">
        <f t="shared" si="0"/>
        <v>#DIV/0!</v>
      </c>
    </row>
    <row r="12" spans="1:34" ht="17" thickBot="1" x14ac:dyDescent="0.25">
      <c r="B12" s="9" t="str">
        <v>CiNOR</v>
      </c>
      <c r="C12" s="42">
        <f>SUMIFS(Tableau1[Quantité],Tableau1[Lot],Indicateurs!$B$12,Tableau1[Entité],Indicateurs!$C$9,Tableau1[Poste],"m3 d'eau distribués")</f>
        <v>1958462</v>
      </c>
      <c r="D12" s="43">
        <f>SUMIFS(Tableau1[Quantité],Tableau1[Lot],Indicateurs!$B$12,Tableau1[Entité],Indicateurs!$D$9,Tableau1[Poste],"m3 d'eau assainis")</f>
        <v>272462</v>
      </c>
      <c r="F12" s="9" t="str">
        <v>CiNOR</v>
      </c>
      <c r="G12" s="93">
        <f t="shared" si="0"/>
        <v>3044.899518091237</v>
      </c>
      <c r="H12" s="120">
        <f t="shared" si="0"/>
        <v>650.54105427362344</v>
      </c>
    </row>
    <row r="13" spans="1:34" ht="17" thickBot="1" x14ac:dyDescent="0.25">
      <c r="B13" s="10" t="s">
        <v>11</v>
      </c>
      <c r="C13" s="8">
        <f>SUM(C10:C11)</f>
        <v>28631015</v>
      </c>
      <c r="D13" s="7">
        <f>SUM(D10:D11)</f>
        <v>0</v>
      </c>
      <c r="F13" s="10" t="s">
        <v>11</v>
      </c>
      <c r="G13" s="45">
        <f t="shared" si="0"/>
        <v>367.31627538967024</v>
      </c>
      <c r="H13" s="46" t="e">
        <f t="shared" si="0"/>
        <v>#DIV/0!</v>
      </c>
    </row>
    <row r="14" spans="1:34" ht="17" thickBot="1" x14ac:dyDescent="0.25"/>
    <row r="15" spans="1:34" ht="17" thickBot="1" x14ac:dyDescent="0.25">
      <c r="B15" s="130" t="s">
        <v>77</v>
      </c>
      <c r="C15" s="12" t="s">
        <v>33</v>
      </c>
      <c r="D15" s="13" t="s">
        <v>34</v>
      </c>
      <c r="F15" s="130" t="s">
        <v>139</v>
      </c>
      <c r="G15" s="12" t="s">
        <v>33</v>
      </c>
      <c r="H15" s="13" t="s">
        <v>34</v>
      </c>
    </row>
    <row r="16" spans="1:34" x14ac:dyDescent="0.2">
      <c r="B16" s="11" t="str" cm="1">
        <f t="array" ref="B16:B18">_xlfn.UNIQUE(Tableau1[Lot])</f>
        <v>CA SUD</v>
      </c>
      <c r="C16" s="115">
        <f>SUMIFS(Tableau1[Quantité],Tableau1[Lot],Indicateurs!$B$16,Tableau1[Entité],Indicateurs!$C$15,Tableau1[Poste],"Nombre de branchements")</f>
        <v>0</v>
      </c>
      <c r="D16" s="116">
        <f>SUMIFS(Tableau1[Quantité],Tableau1[Lot],Indicateurs!$B$16,Tableau1[Entité],Indicateurs!$D$15,Tableau1[Poste],"Nombre de branchements")</f>
        <v>0</v>
      </c>
      <c r="F16" s="11" t="str" cm="1">
        <f t="array" ref="F16:F18">_xlfn.UNIQUE(Tableau1[Lot])</f>
        <v>CA SUD</v>
      </c>
      <c r="G16" s="40" t="e">
        <f>C4*1000/C16</f>
        <v>#DIV/0!</v>
      </c>
      <c r="H16" s="41" t="e">
        <f>D4*1000/D16</f>
        <v>#DIV/0!</v>
      </c>
    </row>
    <row r="17" spans="2:8" ht="19" customHeight="1" x14ac:dyDescent="0.2">
      <c r="B17" s="9" t="str">
        <v xml:space="preserve"> St-Leu</v>
      </c>
      <c r="C17" s="42">
        <f>SUMIFS(Tableau1[Quantité],Tableau1[Lot],Indicateurs!$B$17,Tableau1[Entité],Indicateurs!$C$9,Tableau1[Poste],"Nombre de branchements")</f>
        <v>0</v>
      </c>
      <c r="D17" s="43">
        <f>SUMIFS(Tableau1[Quantité],Tableau1[Lot],Indicateurs!$B$17,Tableau1[Entité],Indicateurs!$D$15,Tableau1[Poste],"Nombre de branchements")</f>
        <v>0</v>
      </c>
      <c r="F17" s="9" t="str">
        <v xml:space="preserve"> St-Leu</v>
      </c>
      <c r="G17" s="42" t="e">
        <f>C5*1000/C17</f>
        <v>#DIV/0!</v>
      </c>
      <c r="H17" s="43" t="e">
        <f>D5*1000/D17</f>
        <v>#DIV/0!</v>
      </c>
    </row>
    <row r="18" spans="2:8" ht="19" customHeight="1" thickBot="1" x14ac:dyDescent="0.25">
      <c r="B18" s="9" t="str">
        <v>CiNOR</v>
      </c>
      <c r="C18" s="42">
        <f>SUMIFS(Tableau1[Quantité],Tableau1[Lot],Indicateurs!$B$18,Tableau1[Entité],Indicateurs!$C$15,Tableau1[Poste],"Nombre de branchements")</f>
        <v>0</v>
      </c>
      <c r="D18" s="43">
        <f>SUMIFS(Tableau1[Quantité],Tableau1[Lot],Indicateurs!$B$18,Tableau1[Entité],Indicateurs!$D$15,Tableau1[Poste],"Nombre de branchements")</f>
        <v>0</v>
      </c>
      <c r="F18" s="9" t="str">
        <v>CiNOR</v>
      </c>
      <c r="G18" s="42"/>
      <c r="H18" s="43"/>
    </row>
    <row r="19" spans="2:8" ht="17" thickBot="1" x14ac:dyDescent="0.25">
      <c r="B19" s="10" t="s">
        <v>11</v>
      </c>
      <c r="C19" s="8">
        <f>SUM(C16:C17)</f>
        <v>0</v>
      </c>
      <c r="D19" s="7">
        <f>SUM(D16:D17)</f>
        <v>0</v>
      </c>
      <c r="F19" s="10" t="s">
        <v>11</v>
      </c>
      <c r="G19" s="8" t="e">
        <f>C7*1000/C19</f>
        <v>#DIV/0!</v>
      </c>
      <c r="H19" s="7" t="e">
        <f>D7*1000/D19</f>
        <v>#DIV/0!</v>
      </c>
    </row>
    <row r="20" spans="2:8" ht="17" thickBot="1" x14ac:dyDescent="0.25">
      <c r="C20" s="44" t="s">
        <v>55</v>
      </c>
    </row>
    <row r="21" spans="2:8" ht="17" thickBot="1" x14ac:dyDescent="0.25">
      <c r="B21" s="130" t="s">
        <v>75</v>
      </c>
      <c r="C21" s="12" t="s">
        <v>33</v>
      </c>
      <c r="D21" s="13" t="s">
        <v>34</v>
      </c>
      <c r="F21" s="130" t="s">
        <v>76</v>
      </c>
      <c r="G21" s="12" t="s">
        <v>33</v>
      </c>
      <c r="H21" s="13" t="s">
        <v>34</v>
      </c>
    </row>
    <row r="22" spans="2:8" x14ac:dyDescent="0.2">
      <c r="B22" s="11" t="str" cm="1">
        <f t="array" ref="B22:B24">_xlfn.UNIQUE(Tableau1[Lot])</f>
        <v>CA SUD</v>
      </c>
      <c r="C22" s="115">
        <f>SUMIFS(Tableau1[Quantité],Tableau1[Lot],Indicateurs!$B$22,Tableau1[Entité],Indicateurs!$C$21,Tableau1[Poste],"Nombre d'habitants")</f>
        <v>0</v>
      </c>
      <c r="D22" s="116">
        <f>SUMIFS(Tableau1[Unité],Tableau1[Entité],Indicateurs!$B$22,Tableau1[Année],Indicateurs!$D$21,Tableau1[Quantité],"Nombre d'habitants")</f>
        <v>0</v>
      </c>
      <c r="F22" s="11" t="str" cm="1">
        <f t="array" ref="F22:F24">_xlfn.UNIQUE(Tableau1[Lot])</f>
        <v>CA SUD</v>
      </c>
      <c r="G22" s="40" t="e">
        <f>C4*1000/C22</f>
        <v>#DIV/0!</v>
      </c>
      <c r="H22" s="41" t="e">
        <f>D4*1000/D22</f>
        <v>#DIV/0!</v>
      </c>
    </row>
    <row r="23" spans="2:8" x14ac:dyDescent="0.2">
      <c r="B23" s="9" t="str">
        <v xml:space="preserve"> St-Leu</v>
      </c>
      <c r="C23" s="42">
        <f>SUMIFS(Tableau1[Quantité],Tableau1[Lot],Indicateurs!$B$23,Tableau1[Entité],Indicateurs!$C$21,Tableau1[Poste],"Nombre d'habitants")</f>
        <v>0</v>
      </c>
      <c r="D23" s="43">
        <f>SUMIFS(Tableau1[Unité],Tableau1[Entité],Indicateurs!$B$23,Tableau1[Année],Indicateurs!$D$21,Tableau1[Quantité],"Nombre d'habitants")</f>
        <v>0</v>
      </c>
      <c r="F23" s="9" t="str">
        <v xml:space="preserve"> St-Leu</v>
      </c>
      <c r="G23" s="42" t="e">
        <f>C5*1000/C23</f>
        <v>#DIV/0!</v>
      </c>
      <c r="H23" s="43" t="e">
        <f>D5*1000/D23</f>
        <v>#DIV/0!</v>
      </c>
    </row>
    <row r="24" spans="2:8" ht="17" thickBot="1" x14ac:dyDescent="0.25">
      <c r="B24" s="9" t="str">
        <v>CiNOR</v>
      </c>
      <c r="C24" s="117">
        <f>SUMIFS(Tableau1[Quantité],Tableau1[Lot],Indicateurs!$B$24,Tableau1[Entité],Indicateurs!$C$21,Tableau1[Poste],"Nombre d'habitants")</f>
        <v>0</v>
      </c>
      <c r="D24" s="118">
        <f>SUMIFS(Tableau1[Unité],Tableau1[Entité],Indicateurs!$B$24,Tableau1[Année],Indicateurs!$D$21,Tableau1[Quantité],"Nombre d'habitants")</f>
        <v>0</v>
      </c>
      <c r="F24" s="9" t="str">
        <v>CiNOR</v>
      </c>
      <c r="G24" s="42"/>
      <c r="H24" s="43"/>
    </row>
    <row r="25" spans="2:8" ht="17" thickBot="1" x14ac:dyDescent="0.25">
      <c r="B25" s="10" t="s">
        <v>11</v>
      </c>
      <c r="C25" s="113">
        <f>SUM(C22:C23)</f>
        <v>0</v>
      </c>
      <c r="D25" s="114">
        <f>SUM(D22:D23)</f>
        <v>0</v>
      </c>
      <c r="F25" s="10" t="s">
        <v>11</v>
      </c>
      <c r="G25" s="8" t="e">
        <f>C7*1000/C25</f>
        <v>#DIV/0!</v>
      </c>
      <c r="H25" s="7" t="e">
        <f>D7*1000/D25</f>
        <v>#DIV/0!</v>
      </c>
    </row>
    <row r="26" spans="2:8" ht="45.75" customHeight="1" x14ac:dyDescent="0.2">
      <c r="B26" s="177" t="s">
        <v>78</v>
      </c>
      <c r="C26" s="177"/>
      <c r="D26" s="177"/>
      <c r="F26" s="178" t="s">
        <v>79</v>
      </c>
      <c r="G26" s="178"/>
      <c r="H26" s="178"/>
    </row>
    <row r="30" spans="2:8" ht="17" thickBot="1" x14ac:dyDescent="0.25"/>
    <row r="31" spans="2:8" ht="17" thickBot="1" x14ac:dyDescent="0.25">
      <c r="B31" s="174" t="s">
        <v>69</v>
      </c>
      <c r="C31" s="175"/>
      <c r="D31" s="175"/>
      <c r="E31" s="176"/>
    </row>
    <row r="32" spans="2:8" ht="17" thickBot="1" x14ac:dyDescent="0.25">
      <c r="B32" s="70" t="s">
        <v>68</v>
      </c>
      <c r="C32" s="12" t="s">
        <v>33</v>
      </c>
      <c r="D32" s="13" t="s">
        <v>34</v>
      </c>
      <c r="E32" s="47" t="s">
        <v>11</v>
      </c>
    </row>
    <row r="33" spans="2:5" x14ac:dyDescent="0.2">
      <c r="B33" s="11" t="str" cm="1">
        <f t="array" ref="B33:B35">_xlfn.UNIQUE(Tableau1[Lot])</f>
        <v>CA SUD</v>
      </c>
      <c r="C33" s="90">
        <f>SUMIFS(Tableau1[Emissions_kgCO2],Tableau1[Lot],Indicateurs!$B$4,Tableau1[Entité],Indicateurs!$C$3)</f>
        <v>48842347.330814876</v>
      </c>
      <c r="D33" s="108">
        <f>SUMIFS(Tableau1[Emissions_kgCO2],Tableau1[Lot],Indicateurs!$B$4,Tableau1[Entité],Indicateurs!$D$3)</f>
        <v>0</v>
      </c>
      <c r="E33" s="48">
        <f>SUM(C33:D33)</f>
        <v>48842347.330814876</v>
      </c>
    </row>
    <row r="34" spans="2:5" x14ac:dyDescent="0.2">
      <c r="B34" s="9" t="str">
        <v xml:space="preserve"> St-Leu</v>
      </c>
      <c r="C34" s="91">
        <f>SUMIFS(Tableau1[Emissions_kgCO2],Tableau1[Lot],Indicateurs!$B$5,Tableau1[Entité],Indicateurs!$C$3)</f>
        <v>15118851.792944236</v>
      </c>
      <c r="D34" s="109">
        <f>SUMIFS(Tableau1[Emissions_kgCO2],Tableau1[Lot],Indicateurs!$B$5,Tableau1[Entité],Indicateurs!$D$3)</f>
        <v>0</v>
      </c>
      <c r="E34" s="49">
        <f>SUM(C34:D34)</f>
        <v>15118851.792944236</v>
      </c>
    </row>
    <row r="35" spans="2:5" ht="17" thickBot="1" x14ac:dyDescent="0.25">
      <c r="B35" s="9" t="str">
        <v>CiNOR</v>
      </c>
      <c r="C35" s="91">
        <f>SUMIFS(Tableau1[Emissions_kgCO2],Tableau1[Lot],Indicateurs!$B$6,Tableau1[Entité],Indicateurs!$C$3)</f>
        <v>35963320</v>
      </c>
      <c r="D35" s="110"/>
      <c r="E35" s="49"/>
    </row>
    <row r="36" spans="2:5" ht="17" thickBot="1" x14ac:dyDescent="0.25">
      <c r="B36" s="10" t="s">
        <v>11</v>
      </c>
      <c r="C36" s="50">
        <f>SUM(C33:C34)</f>
        <v>63961199.123759113</v>
      </c>
      <c r="D36" s="51">
        <f>SUM(D33:D34)</f>
        <v>0</v>
      </c>
      <c r="E36" s="52">
        <f>SUM(E33:E34)</f>
        <v>63961199.123759113</v>
      </c>
    </row>
  </sheetData>
  <mergeCells count="3">
    <mergeCell ref="B31:E31"/>
    <mergeCell ref="B26:D26"/>
    <mergeCell ref="F26:H26"/>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354E8-F8AC-429B-A00C-040A7E1CA63C}">
  <sheetPr codeName="Feuil2">
    <tabColor theme="5"/>
  </sheetPr>
  <dimension ref="A1:AA47"/>
  <sheetViews>
    <sheetView showGridLines="0" zoomScale="75" zoomScaleNormal="85" workbookViewId="0">
      <selection activeCell="AC10" sqref="AC10"/>
    </sheetView>
  </sheetViews>
  <sheetFormatPr baseColWidth="10" defaultRowHeight="16" x14ac:dyDescent="0.2"/>
  <cols>
    <col min="1" max="1" width="12.42578125" customWidth="1"/>
    <col min="2" max="2" width="3.28515625" customWidth="1"/>
    <col min="3" max="3" width="34.28515625" bestFit="1" customWidth="1"/>
    <col min="4" max="4" width="14.5703125" bestFit="1" customWidth="1"/>
    <col min="7" max="7" width="15.28515625" customWidth="1"/>
    <col min="8" max="8" width="8.5703125" customWidth="1"/>
  </cols>
  <sheetData>
    <row r="1" spans="1:27" ht="75" customHeight="1" x14ac:dyDescent="0.2">
      <c r="A1" s="14"/>
      <c r="B1" s="14"/>
      <c r="C1" s="111" t="str">
        <f>"Résutats globaux - " &amp;DATA!A2</f>
        <v>Résutats globaux - La Réunion</v>
      </c>
      <c r="D1" s="14"/>
      <c r="E1" s="14"/>
      <c r="F1" s="14"/>
      <c r="G1" s="14"/>
      <c r="H1" s="14"/>
      <c r="I1" s="14"/>
      <c r="J1" s="14"/>
      <c r="K1" s="14"/>
      <c r="L1" s="14"/>
      <c r="M1" s="14"/>
      <c r="N1" s="14"/>
      <c r="O1" s="14"/>
      <c r="P1" s="14"/>
      <c r="Q1" s="14"/>
      <c r="R1" s="14"/>
      <c r="S1" s="14"/>
      <c r="T1" s="14"/>
      <c r="U1" s="14"/>
      <c r="V1" s="14"/>
      <c r="W1" s="14"/>
      <c r="X1" s="14"/>
      <c r="Y1" s="14"/>
      <c r="Z1" s="14"/>
      <c r="AA1" s="14"/>
    </row>
    <row r="2" spans="1:27" ht="29" customHeight="1" thickBot="1" x14ac:dyDescent="0.25">
      <c r="C2" s="112"/>
    </row>
    <row r="3" spans="1:27" ht="17" thickBot="1" x14ac:dyDescent="0.25">
      <c r="C3" s="106" t="s">
        <v>48</v>
      </c>
      <c r="D3" s="89" t="str" cm="1">
        <f t="array" ref="D3:F3">TRANSPOSE(_xlfn.UNIQUE(Tableau1[Lot]))</f>
        <v>CA SUD</v>
      </c>
      <c r="E3" s="89" t="str">
        <v xml:space="preserve"> St-Leu</v>
      </c>
      <c r="F3" s="57" t="str">
        <v>CiNOR</v>
      </c>
      <c r="G3" s="54" t="s">
        <v>143</v>
      </c>
      <c r="H3" s="57" t="s">
        <v>142</v>
      </c>
    </row>
    <row r="4" spans="1:27" x14ac:dyDescent="0.2">
      <c r="B4" t="s">
        <v>111</v>
      </c>
      <c r="C4" s="103" t="s">
        <v>83</v>
      </c>
      <c r="D4" s="97">
        <f>SUMIFS(Tableau1[Emissions_kgCO2],Tableau1[Catégorie],Global!B4,Tableau1[Lot],Global!$D$3)</f>
        <v>4232000</v>
      </c>
      <c r="E4" s="97">
        <f>SUMIFS(Tableau1[Emissions_kgCO2],Tableau1[Catégorie],Global!B4,Tableau1[Lot],Global!$E$3)</f>
        <v>1497468</v>
      </c>
      <c r="F4" s="97">
        <f>SUMIFS(Tableau1[Emissions_kgCO2],Tableau1[Catégorie],Global!B4,Tableau1[Lot],Global!$F$3)</f>
        <v>3142391</v>
      </c>
      <c r="G4" s="134">
        <f>SUM(D4:F4)</f>
        <v>8871859</v>
      </c>
      <c r="H4" s="140" t="s">
        <v>87</v>
      </c>
    </row>
    <row r="5" spans="1:27" x14ac:dyDescent="0.2">
      <c r="B5" t="s">
        <v>110</v>
      </c>
      <c r="C5" s="103" t="s">
        <v>90</v>
      </c>
      <c r="D5" s="97">
        <f>SUMIFS(Tableau1[Emissions_kgCO2],Tableau1[Catégorie],Global!B5,Tableau1[Lot],Global!$D$3)</f>
        <v>16009.6646</v>
      </c>
      <c r="E5" s="97">
        <f>SUMIFS(Tableau1[Emissions_kgCO2],Tableau1[Catégorie],Global!B5,Tableau1[Lot],Global!$E$3)</f>
        <v>8716.9553599999999</v>
      </c>
      <c r="F5" s="97">
        <f>SUMIFS(Tableau1[Emissions_kgCO2],Tableau1[Catégorie],Global!B5,Tableau1[Lot],Global!$F$3)</f>
        <v>33653.119999999995</v>
      </c>
      <c r="G5" s="134">
        <f t="shared" ref="G5:G18" si="0">SUM(D5:F5)</f>
        <v>58379.739959999992</v>
      </c>
      <c r="H5" s="141" t="s">
        <v>87</v>
      </c>
    </row>
    <row r="6" spans="1:27" x14ac:dyDescent="0.2">
      <c r="B6" t="s">
        <v>125</v>
      </c>
      <c r="C6" s="103" t="s">
        <v>91</v>
      </c>
      <c r="D6" s="97">
        <f>SUMIFS(Tableau1[Emissions_kgCO2],Tableau1[Catégorie],Global!B6,Tableau1[Lot],Global!$D$3)</f>
        <v>1214640.504</v>
      </c>
      <c r="E6" s="97">
        <f>SUMIFS(Tableau1[Emissions_kgCO2],Tableau1[Catégorie],Global!B6,Tableau1[Lot],Global!$E$3)</f>
        <v>569339.1</v>
      </c>
      <c r="F6" s="97">
        <f>SUMIFS(Tableau1[Emissions_kgCO2],Tableau1[Catégorie],Global!B6,Tableau1[Lot],Global!$F$3)</f>
        <v>999999</v>
      </c>
      <c r="G6" s="134">
        <f t="shared" si="0"/>
        <v>2783978.6039999998</v>
      </c>
      <c r="H6" s="141" t="s">
        <v>87</v>
      </c>
    </row>
    <row r="7" spans="1:27" x14ac:dyDescent="0.2">
      <c r="B7" t="s">
        <v>127</v>
      </c>
      <c r="C7" s="103" t="s">
        <v>82</v>
      </c>
      <c r="D7" s="97">
        <f>SUMIFS(Tableau1[Emissions_kgCO2],Tableau1[Catégorie],Global!B7,Tableau1[Lot],Global!$D$3)</f>
        <v>743065</v>
      </c>
      <c r="E7" s="97">
        <f>SUMIFS(Tableau1[Emissions_kgCO2],Tableau1[Catégorie],Global!B7,Tableau1[Lot],Global!$E$3)</f>
        <v>203810.84512000004</v>
      </c>
      <c r="F7" s="97">
        <f>SUMIFS(Tableau1[Emissions_kgCO2],Tableau1[Catégorie],Global!B7,Tableau1[Lot],Global!$F$3)</f>
        <v>650000</v>
      </c>
      <c r="G7" s="134">
        <f t="shared" si="0"/>
        <v>1596875.8451200002</v>
      </c>
      <c r="H7" s="141" t="s">
        <v>87</v>
      </c>
    </row>
    <row r="8" spans="1:27" x14ac:dyDescent="0.2">
      <c r="B8" t="s">
        <v>107</v>
      </c>
      <c r="C8" s="107" t="s">
        <v>84</v>
      </c>
      <c r="D8" s="97">
        <f>SUMIFS(Tableau1[Emissions_kgCO2],Tableau1[Catégorie],Global!B8,Tableau1[Lot],Global!$D$3)</f>
        <v>0</v>
      </c>
      <c r="E8" s="97">
        <f>SUMIFS(Tableau1[Emissions_kgCO2],Tableau1[Catégorie],Global!B8,Tableau1[Lot],Global!$E$3)</f>
        <v>0</v>
      </c>
      <c r="F8" s="97">
        <f>SUMIFS(Tableau1[Emissions_kgCO2],Tableau1[Catégorie],Global!B8,Tableau1[Lot],Global!$F$3)</f>
        <v>6461.9780309999987</v>
      </c>
      <c r="G8" s="135">
        <f t="shared" si="0"/>
        <v>6461.9780309999987</v>
      </c>
      <c r="H8" s="141" t="s">
        <v>87</v>
      </c>
    </row>
    <row r="9" spans="1:27" x14ac:dyDescent="0.2">
      <c r="B9" t="s">
        <v>124</v>
      </c>
      <c r="C9" s="107" t="s">
        <v>92</v>
      </c>
      <c r="D9" s="97">
        <f>SUMIFS(Tableau1[Emissions_kgCO2],Tableau1[Catégorie],Global!B9,Tableau1[Lot],Global!$D$3)</f>
        <v>0</v>
      </c>
      <c r="E9" s="97">
        <f>SUMIFS(Tableau1[Emissions_kgCO2],Tableau1[Catégorie],Global!B9,Tableau1[Lot],Global!$E$3)</f>
        <v>0</v>
      </c>
      <c r="F9" s="97">
        <f>SUMIFS(Tableau1[Emissions_kgCO2],Tableau1[Catégorie],Global!B9,Tableau1[Lot],Global!$F$3)</f>
        <v>5629</v>
      </c>
      <c r="G9" s="135">
        <f t="shared" si="0"/>
        <v>5629</v>
      </c>
      <c r="H9" s="141" t="s">
        <v>87</v>
      </c>
    </row>
    <row r="10" spans="1:27" x14ac:dyDescent="0.2">
      <c r="B10" t="s">
        <v>123</v>
      </c>
      <c r="C10" s="107" t="s">
        <v>93</v>
      </c>
      <c r="D10" s="97">
        <f>SUMIFS(Tableau1[Emissions_kgCO2],Tableau1[Catégorie],Global!B10,Tableau1[Lot],Global!$D$3)</f>
        <v>0</v>
      </c>
      <c r="E10" s="97">
        <f>SUMIFS(Tableau1[Emissions_kgCO2],Tableau1[Catégorie],Global!B10,Tableau1[Lot],Global!$E$3)</f>
        <v>0</v>
      </c>
      <c r="F10" s="97">
        <f>SUMIFS(Tableau1[Emissions_kgCO2],Tableau1[Catégorie],Global!B10,Tableau1[Lot],Global!$F$3)</f>
        <v>8789.1875534999999</v>
      </c>
      <c r="G10" s="135">
        <f t="shared" si="0"/>
        <v>8789.1875534999999</v>
      </c>
      <c r="H10" s="141" t="s">
        <v>87</v>
      </c>
    </row>
    <row r="11" spans="1:27" x14ac:dyDescent="0.2">
      <c r="B11" t="s">
        <v>106</v>
      </c>
      <c r="C11" s="103" t="s">
        <v>46</v>
      </c>
      <c r="D11" s="97">
        <f>SUMIFS(Tableau1[Emissions_kgCO2],Tableau1[Catégorie],Global!B11,Tableau1[Lot],Global!$D$3)</f>
        <v>1296366.1779999998</v>
      </c>
      <c r="E11" s="97">
        <f>SUMIFS(Tableau1[Emissions_kgCO2],Tableau1[Catégorie],Global!B11,Tableau1[Lot],Global!$E$3)</f>
        <v>311083.40599999996</v>
      </c>
      <c r="F11" s="97">
        <f>SUMIFS(Tableau1[Emissions_kgCO2],Tableau1[Catégorie],Global!B11,Tableau1[Lot],Global!$F$3)</f>
        <v>909958.29399999999</v>
      </c>
      <c r="G11" s="134">
        <f t="shared" si="0"/>
        <v>2517407.8779999996</v>
      </c>
      <c r="H11" s="141" t="s">
        <v>86</v>
      </c>
    </row>
    <row r="12" spans="1:27" x14ac:dyDescent="0.2">
      <c r="B12" t="s">
        <v>50</v>
      </c>
      <c r="C12" s="103" t="s">
        <v>50</v>
      </c>
      <c r="D12" s="97">
        <f>SUMIFS(Tableau1[Emissions_kgCO2],Tableau1[Catégorie],Global!B12,Tableau1[Lot],Global!$D$3)</f>
        <v>224131.91401533334</v>
      </c>
      <c r="E12" s="97">
        <f>SUMIFS(Tableau1[Emissions_kgCO2],Tableau1[Catégorie],Global!B12,Tableau1[Lot],Global!$E$3)</f>
        <v>876</v>
      </c>
      <c r="F12" s="97">
        <f>SUMIFS(Tableau1[Emissions_kgCO2],Tableau1[Catégorie],Global!B12,Tableau1[Lot],Global!$F$3)</f>
        <v>150421</v>
      </c>
      <c r="G12" s="134">
        <f t="shared" si="0"/>
        <v>375428.91401533334</v>
      </c>
      <c r="H12" s="141" t="s">
        <v>87</v>
      </c>
    </row>
    <row r="13" spans="1:27" x14ac:dyDescent="0.2">
      <c r="B13" t="s">
        <v>59</v>
      </c>
      <c r="C13" s="103" t="s">
        <v>59</v>
      </c>
      <c r="D13" s="97">
        <f>SUMIFS(Tableau1[Emissions_kgCO2],Tableau1[Catégorie],Global!B13,Tableau1[Lot],Global!$D$3)</f>
        <v>0</v>
      </c>
      <c r="E13" s="97">
        <f>SUMIFS(Tableau1[Emissions_kgCO2],Tableau1[Catégorie],Global!B13,Tableau1[Lot],Global!$E$3)</f>
        <v>0</v>
      </c>
      <c r="F13" s="97">
        <f>SUMIFS(Tableau1[Emissions_kgCO2],Tableau1[Catégorie],Global!B13,Tableau1[Lot],Global!$F$3)</f>
        <v>0</v>
      </c>
      <c r="G13" s="134">
        <f t="shared" si="0"/>
        <v>0</v>
      </c>
      <c r="H13" s="141" t="s">
        <v>87</v>
      </c>
    </row>
    <row r="14" spans="1:27" x14ac:dyDescent="0.2">
      <c r="B14" t="s">
        <v>45</v>
      </c>
      <c r="C14" s="107" t="s">
        <v>94</v>
      </c>
      <c r="D14" s="97">
        <f>SUMIFS(Tableau1[Emissions_kgCO2],Tableau1[Catégorie],Global!B14,Tableau1[Lot],Global!$D$3)</f>
        <v>0</v>
      </c>
      <c r="E14" s="97">
        <f>SUMIFS(Tableau1[Emissions_kgCO2],Tableau1[Catégorie],Global!B14,Tableau1[Lot],Global!$E$3)</f>
        <v>0</v>
      </c>
      <c r="F14" s="97">
        <f>SUMIFS(Tableau1[Emissions_kgCO2],Tableau1[Catégorie],Global!B14,Tableau1[Lot],Global!$F$3)</f>
        <v>101187.620352</v>
      </c>
      <c r="G14" s="135">
        <f t="shared" si="0"/>
        <v>101187.620352</v>
      </c>
      <c r="H14" s="141" t="s">
        <v>87</v>
      </c>
    </row>
    <row r="15" spans="1:27" x14ac:dyDescent="0.2">
      <c r="B15" t="s">
        <v>140</v>
      </c>
      <c r="C15" s="107" t="s">
        <v>140</v>
      </c>
      <c r="D15" s="97">
        <f>SUMIFS(Tableau1[Emissions_kgCO2],Tableau1[Catégorie],Global!B15,Tableau1[Lot],Global!$D$3)</f>
        <v>11302.827000000001</v>
      </c>
      <c r="E15" s="97">
        <f>SUMIFS(Tableau1[Emissions_kgCO2],Tableau1[Catégorie],Global!B15,Tableau1[Lot],Global!$E$3)</f>
        <v>11302.827000000001</v>
      </c>
      <c r="F15" s="97">
        <f>SUMIFS(Tableau1[Emissions_kgCO2],Tableau1[Catégorie],Global!B15,Tableau1[Lot],Global!$F$3)</f>
        <v>9865</v>
      </c>
      <c r="G15" s="135">
        <f>SUM(D15:F15)</f>
        <v>32470.654000000002</v>
      </c>
      <c r="H15" s="141" t="s">
        <v>87</v>
      </c>
    </row>
    <row r="16" spans="1:27" x14ac:dyDescent="0.2">
      <c r="B16" t="s">
        <v>131</v>
      </c>
      <c r="C16" s="107" t="s">
        <v>47</v>
      </c>
      <c r="D16" s="97">
        <f>SUMIFS(Tableau1[Emissions_kgCO2],Tableau1[Catégorie],Global!B16,Tableau1[Lot],Global!$D$3)</f>
        <v>113559.24319954</v>
      </c>
      <c r="E16" s="97">
        <f>SUMIFS(Tableau1[Emissions_kgCO2],Tableau1[Catégorie],Global!B16,Tableau1[Lot],Global!$E$3)</f>
        <v>62965.326130903937</v>
      </c>
      <c r="F16" s="97">
        <f>SUMIFS(Tableau1[Emissions_kgCO2],Tableau1[Catégorie],Global!B16,Tableau1[Lot],Global!$F$3)</f>
        <v>120564</v>
      </c>
      <c r="G16" s="135">
        <f t="shared" si="0"/>
        <v>297088.56933044392</v>
      </c>
      <c r="H16" s="141" t="s">
        <v>85</v>
      </c>
    </row>
    <row r="17" spans="2:8" x14ac:dyDescent="0.2">
      <c r="B17" t="s">
        <v>51</v>
      </c>
      <c r="C17" s="107" t="s">
        <v>51</v>
      </c>
      <c r="D17" s="97">
        <f>SUMIFS(Tableau1[Emissions_kgCO2],Tableau1[Catégorie],Global!B17,Tableau1[Lot],Global!$D$3)</f>
        <v>0</v>
      </c>
      <c r="E17" s="97">
        <f>SUMIFS(Tableau1[Emissions_kgCO2],Tableau1[Catégorie],Global!B17,Tableau1[Lot],Global!$E$3)</f>
        <v>0</v>
      </c>
      <c r="F17" s="97">
        <f>SUMIFS(Tableau1[Emissions_kgCO2],Tableau1[Catégorie],Global!B17,Tableau1[Lot],Global!$F$3)</f>
        <v>1584.674</v>
      </c>
      <c r="G17" s="135">
        <f t="shared" si="0"/>
        <v>1584.674</v>
      </c>
      <c r="H17" s="141" t="s">
        <v>87</v>
      </c>
    </row>
    <row r="18" spans="2:8" ht="17" thickBot="1" x14ac:dyDescent="0.25">
      <c r="B18" t="s">
        <v>95</v>
      </c>
      <c r="C18" s="104" t="s">
        <v>95</v>
      </c>
      <c r="D18" s="97">
        <f>SUMIFS(Tableau1[Emissions_kgCO2],Tableau1[Catégorie],Global!B18,Tableau1[Lot],Global!$D$3)</f>
        <v>0</v>
      </c>
      <c r="E18" s="97">
        <f>SUMIFS(Tableau1[Emissions_kgCO2],Tableau1[Catégorie],Global!B18,Tableau1[Lot],Global!$E$3)</f>
        <v>0</v>
      </c>
      <c r="F18" s="97">
        <f>SUMIFS(Tableau1[Emissions_kgCO2],Tableau1[Catégorie],Global!B18,Tableau1[Lot],Global!$F$3)</f>
        <v>63.842793</v>
      </c>
      <c r="G18" s="136">
        <f>SUM(D18:F18)</f>
        <v>63.842793</v>
      </c>
      <c r="H18" s="142" t="s">
        <v>87</v>
      </c>
    </row>
    <row r="19" spans="2:8" ht="17" thickBot="1" x14ac:dyDescent="0.25">
      <c r="C19" s="105" t="s">
        <v>11</v>
      </c>
      <c r="D19" s="50">
        <f>SUM(D4:D18)</f>
        <v>7851075.3308148729</v>
      </c>
      <c r="E19" s="99">
        <f>SUM(E4:E18)</f>
        <v>2665562.4596109041</v>
      </c>
      <c r="F19" s="51">
        <f>SUM(F4:F18)</f>
        <v>6140567.7167294994</v>
      </c>
      <c r="G19" s="52">
        <f>SUM(G4:G18)</f>
        <v>16657205.507155279</v>
      </c>
    </row>
    <row r="20" spans="2:8" ht="17" thickBot="1" x14ac:dyDescent="0.25"/>
    <row r="21" spans="2:8" ht="17" thickBot="1" x14ac:dyDescent="0.25">
      <c r="C21" s="179" t="s">
        <v>70</v>
      </c>
      <c r="D21" s="180"/>
      <c r="E21" s="180"/>
      <c r="F21" s="180"/>
      <c r="G21" s="181"/>
    </row>
    <row r="22" spans="2:8" x14ac:dyDescent="0.2">
      <c r="C22" s="65" t="s">
        <v>48</v>
      </c>
      <c r="D22" s="63" t="str">
        <f>D3</f>
        <v>CA SUD</v>
      </c>
      <c r="E22" s="100" t="str">
        <f>E3</f>
        <v xml:space="preserve"> St-Leu</v>
      </c>
      <c r="F22" s="64" t="str">
        <f>F3</f>
        <v>CiNOR</v>
      </c>
      <c r="G22" s="62" t="s">
        <v>52</v>
      </c>
    </row>
    <row r="23" spans="2:8" x14ac:dyDescent="0.2">
      <c r="C23" s="66" t="str" cm="1">
        <f t="array" ref="C23:G37">_xlfn._xlws.SORT(C4:G18,5,-1)</f>
        <v>Intrants - Travaux</v>
      </c>
      <c r="D23" s="58">
        <v>4232000</v>
      </c>
      <c r="E23" s="97">
        <v>1497468</v>
      </c>
      <c r="F23" s="59">
        <v>3142391</v>
      </c>
      <c r="G23" s="87">
        <v>8871859</v>
      </c>
    </row>
    <row r="24" spans="2:8" x14ac:dyDescent="0.2">
      <c r="C24" s="66" t="str">
        <v>Intrants - Imports d'eau</v>
      </c>
      <c r="D24" s="58">
        <v>1214640.504</v>
      </c>
      <c r="E24" s="98">
        <v>569339.1</v>
      </c>
      <c r="F24" s="69">
        <v>999999</v>
      </c>
      <c r="G24" s="87">
        <v>2783978.6039999998</v>
      </c>
    </row>
    <row r="25" spans="2:8" x14ac:dyDescent="0.2">
      <c r="C25" s="84" t="str">
        <v>Electricité</v>
      </c>
      <c r="D25" s="85">
        <v>1296366.1779999998</v>
      </c>
      <c r="E25" s="101">
        <v>311083.40599999996</v>
      </c>
      <c r="F25" s="86">
        <v>909958.29399999999</v>
      </c>
      <c r="G25" s="88">
        <v>2517407.8779999996</v>
      </c>
    </row>
    <row r="26" spans="2:8" x14ac:dyDescent="0.2">
      <c r="C26" s="66" t="str">
        <v>Intrants - Autres intrants</v>
      </c>
      <c r="D26" s="58">
        <v>743065</v>
      </c>
      <c r="E26" s="98">
        <v>203810.84512000004</v>
      </c>
      <c r="F26" s="69">
        <v>650000</v>
      </c>
      <c r="G26" s="87">
        <v>1596875.8451200002</v>
      </c>
    </row>
    <row r="27" spans="2:8" x14ac:dyDescent="0.2">
      <c r="C27" s="66" t="str">
        <v>Immobilisations</v>
      </c>
      <c r="D27" s="58">
        <v>224131.91401533334</v>
      </c>
      <c r="E27" s="97">
        <v>876</v>
      </c>
      <c r="F27" s="59">
        <v>150421</v>
      </c>
      <c r="G27" s="87">
        <v>375428.91401533334</v>
      </c>
    </row>
    <row r="28" spans="2:8" x14ac:dyDescent="0.2">
      <c r="C28" s="66" t="str">
        <v>Parc automobile</v>
      </c>
      <c r="D28" s="58">
        <v>113559.24319954</v>
      </c>
      <c r="E28" s="97">
        <v>62965.326130903937</v>
      </c>
      <c r="F28" s="59">
        <v>120564</v>
      </c>
      <c r="G28" s="87">
        <v>297088.56933044392</v>
      </c>
    </row>
    <row r="29" spans="2:8" x14ac:dyDescent="0.2">
      <c r="C29" s="66" t="str">
        <v>Epandage des boues</v>
      </c>
      <c r="D29" s="58">
        <v>0</v>
      </c>
      <c r="E29" s="97">
        <v>0</v>
      </c>
      <c r="F29" s="59">
        <v>101187.620352</v>
      </c>
      <c r="G29" s="87">
        <v>101187.620352</v>
      </c>
    </row>
    <row r="30" spans="2:8" x14ac:dyDescent="0.2">
      <c r="C30" s="66" t="str">
        <v>Intrants - Réactifs</v>
      </c>
      <c r="D30" s="58">
        <v>16009.6646</v>
      </c>
      <c r="E30" s="97">
        <v>8716.9553599999999</v>
      </c>
      <c r="F30" s="59">
        <v>33653.119999999995</v>
      </c>
      <c r="G30" s="87">
        <v>58379.739959999992</v>
      </c>
    </row>
    <row r="31" spans="2:8" x14ac:dyDescent="0.2">
      <c r="C31" s="66" t="str">
        <v>Déplacements domicile-travail</v>
      </c>
      <c r="D31" s="58">
        <v>11302.827000000001</v>
      </c>
      <c r="E31" s="97">
        <v>11302.827000000001</v>
      </c>
      <c r="F31" s="59">
        <v>9865</v>
      </c>
      <c r="G31" s="87">
        <v>32470.654000000002</v>
      </c>
    </row>
    <row r="32" spans="2:8" x14ac:dyDescent="0.2">
      <c r="C32" s="66" t="str">
        <v>Emissions indirectes liées aux rejets</v>
      </c>
      <c r="D32" s="58">
        <v>0</v>
      </c>
      <c r="E32" s="97">
        <v>0</v>
      </c>
      <c r="F32" s="59">
        <v>8789.1875534999999</v>
      </c>
      <c r="G32" s="87">
        <v>8789.1875534999999</v>
      </c>
    </row>
    <row r="33" spans="3:7" x14ac:dyDescent="0.2">
      <c r="C33" s="66" t="str">
        <v>File eau des STEP</v>
      </c>
      <c r="D33" s="58">
        <v>0</v>
      </c>
      <c r="E33" s="97">
        <v>0</v>
      </c>
      <c r="F33" s="59">
        <v>6461.9780309999987</v>
      </c>
      <c r="G33" s="87">
        <v>6461.9780309999987</v>
      </c>
    </row>
    <row r="34" spans="3:7" x14ac:dyDescent="0.2">
      <c r="C34" s="66" t="str">
        <v>Emissions indirectes liées au compostage</v>
      </c>
      <c r="D34" s="58">
        <v>0</v>
      </c>
      <c r="E34" s="97">
        <v>0</v>
      </c>
      <c r="F34" s="59">
        <v>5629</v>
      </c>
      <c r="G34" s="87">
        <v>5629</v>
      </c>
    </row>
    <row r="35" spans="3:7" x14ac:dyDescent="0.2">
      <c r="C35" s="66" t="str">
        <v>Déchets</v>
      </c>
      <c r="D35" s="58">
        <v>0</v>
      </c>
      <c r="E35" s="97">
        <v>0</v>
      </c>
      <c r="F35" s="59">
        <v>1584.674</v>
      </c>
      <c r="G35" s="87">
        <v>1584.674</v>
      </c>
    </row>
    <row r="36" spans="3:7" x14ac:dyDescent="0.2">
      <c r="C36" s="66" t="str">
        <v>Fret sortant</v>
      </c>
      <c r="D36" s="58">
        <v>0</v>
      </c>
      <c r="E36" s="97">
        <v>0</v>
      </c>
      <c r="F36" s="59">
        <v>63.842793</v>
      </c>
      <c r="G36" s="87">
        <v>63.842793</v>
      </c>
    </row>
    <row r="37" spans="3:7" ht="17" thickBot="1" x14ac:dyDescent="0.25">
      <c r="C37" s="66" t="str">
        <v>Digesteur</v>
      </c>
      <c r="D37" s="58">
        <v>0</v>
      </c>
      <c r="E37" s="97">
        <v>0</v>
      </c>
      <c r="F37" s="102">
        <v>0</v>
      </c>
      <c r="G37" s="87">
        <v>0</v>
      </c>
    </row>
    <row r="38" spans="3:7" ht="17" thickBot="1" x14ac:dyDescent="0.25">
      <c r="C38" s="55" t="s">
        <v>11</v>
      </c>
      <c r="D38" s="50">
        <f>SUM(D23:D37)</f>
        <v>7851075.3308148729</v>
      </c>
      <c r="E38" s="99">
        <f>SUM(E23:E37)</f>
        <v>2665562.4596109041</v>
      </c>
      <c r="F38" s="51">
        <f>SUM(F23:F37)</f>
        <v>6140567.7167294994</v>
      </c>
      <c r="G38" s="52">
        <f>SUM(G23:G37)</f>
        <v>16657205.507155281</v>
      </c>
    </row>
    <row r="40" spans="3:7" x14ac:dyDescent="0.2">
      <c r="C40" s="39"/>
      <c r="D40" s="39"/>
    </row>
    <row r="42" spans="3:7" ht="17" thickBot="1" x14ac:dyDescent="0.25"/>
    <row r="43" spans="3:7" x14ac:dyDescent="0.2">
      <c r="C43" s="132" t="s">
        <v>89</v>
      </c>
      <c r="D43" s="78" t="s">
        <v>38</v>
      </c>
      <c r="E43" s="79" t="s">
        <v>88</v>
      </c>
    </row>
    <row r="44" spans="3:7" x14ac:dyDescent="0.2">
      <c r="C44" s="9" t="s">
        <v>85</v>
      </c>
      <c r="D44" s="26">
        <f>SUMIF(H4:H18,C44,G4:G18)</f>
        <v>297088.56933044392</v>
      </c>
      <c r="E44" s="80">
        <f>D44/$D$47</f>
        <v>1.7835438795710742E-2</v>
      </c>
      <c r="F44" s="95"/>
    </row>
    <row r="45" spans="3:7" x14ac:dyDescent="0.2">
      <c r="C45" s="9" t="s">
        <v>86</v>
      </c>
      <c r="D45" s="26">
        <f>SUMIF(H4:H18,C45,G4:G18)</f>
        <v>2517407.8779999996</v>
      </c>
      <c r="E45" s="80">
        <f t="shared" ref="E45:E47" si="1">D45/$D$47</f>
        <v>0.15113026473249791</v>
      </c>
      <c r="F45" s="95"/>
    </row>
    <row r="46" spans="3:7" ht="17" thickBot="1" x14ac:dyDescent="0.25">
      <c r="C46" s="133" t="s">
        <v>87</v>
      </c>
      <c r="D46" s="26">
        <f>SUMIF(H4:H18,C46,G4:G18)</f>
        <v>13842709.059824836</v>
      </c>
      <c r="E46" s="81">
        <f t="shared" si="1"/>
        <v>0.83103429647179139</v>
      </c>
      <c r="F46" s="95"/>
    </row>
    <row r="47" spans="3:7" ht="17" thickBot="1" x14ac:dyDescent="0.25">
      <c r="C47" s="15" t="s">
        <v>11</v>
      </c>
      <c r="D47" s="82">
        <f>SUM(D44:D46)</f>
        <v>16657205.507155279</v>
      </c>
      <c r="E47" s="83">
        <f t="shared" si="1"/>
        <v>1</v>
      </c>
      <c r="F47" s="96"/>
    </row>
  </sheetData>
  <sortState xmlns:xlrd2="http://schemas.microsoft.com/office/spreadsheetml/2017/richdata2" ref="C4:G18">
    <sortCondition descending="1" ref="G4:G18"/>
  </sortState>
  <mergeCells count="1">
    <mergeCell ref="C21:G21"/>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941B0-6B51-4659-A332-BE0CED608D12}">
  <sheetPr codeName="Feuil3">
    <tabColor theme="5"/>
  </sheetPr>
  <dimension ref="B1:M46"/>
  <sheetViews>
    <sheetView showGridLines="0" topLeftCell="E1" zoomScale="85" zoomScaleNormal="85" workbookViewId="0">
      <selection activeCell="H40" sqref="H40"/>
    </sheetView>
  </sheetViews>
  <sheetFormatPr baseColWidth="10" defaultRowHeight="16" x14ac:dyDescent="0.2"/>
  <cols>
    <col min="2" max="2" width="28.140625" customWidth="1"/>
    <col min="3" max="3" width="12.42578125" customWidth="1"/>
    <col min="4" max="4" width="16.28515625" customWidth="1"/>
    <col min="5" max="5" width="24" bestFit="1" customWidth="1"/>
    <col min="6" max="6" width="12.5703125" bestFit="1" customWidth="1"/>
    <col min="7" max="7" width="11.85546875" bestFit="1" customWidth="1"/>
    <col min="8" max="8" width="11.7109375" customWidth="1"/>
    <col min="9" max="9" width="34.5703125" customWidth="1"/>
    <col min="10" max="10" width="12.7109375" customWidth="1"/>
    <col min="11" max="11" width="10.140625" customWidth="1"/>
    <col min="12" max="12" width="12.140625" customWidth="1"/>
  </cols>
  <sheetData>
    <row r="1" spans="2:13" s="14" customFormat="1" ht="75" customHeight="1" x14ac:dyDescent="0.2">
      <c r="B1" s="145" t="str">
        <f>"Résutats globaux - " &amp;Global!D3</f>
        <v>Résutats globaux - CA SUD</v>
      </c>
      <c r="E1" s="185"/>
      <c r="F1" s="185"/>
      <c r="G1" s="185"/>
      <c r="H1" s="185"/>
      <c r="I1" s="185"/>
      <c r="J1" s="185"/>
      <c r="K1" s="185"/>
      <c r="L1" s="185"/>
      <c r="M1" s="185"/>
    </row>
    <row r="2" spans="2:13" ht="27" customHeight="1" thickBot="1" x14ac:dyDescent="0.25"/>
    <row r="3" spans="2:13" ht="26" customHeight="1" thickBot="1" x14ac:dyDescent="0.25">
      <c r="B3" s="144" t="str">
        <f>Global!D3</f>
        <v>CA SUD</v>
      </c>
      <c r="E3" s="37" t="s">
        <v>44</v>
      </c>
      <c r="F3" s="37"/>
      <c r="G3" s="75">
        <f>F9/Global!$D$19</f>
        <v>0.7904286874236246</v>
      </c>
    </row>
    <row r="4" spans="2:13" ht="18" customHeight="1" thickBot="1" x14ac:dyDescent="0.25">
      <c r="B4" s="146" t="s">
        <v>142</v>
      </c>
      <c r="C4" s="147" t="s">
        <v>38</v>
      </c>
      <c r="E4" s="186" t="s">
        <v>35</v>
      </c>
      <c r="F4" s="187"/>
      <c r="G4" s="188"/>
      <c r="I4" s="243" t="s">
        <v>36</v>
      </c>
      <c r="J4" s="169" t="s">
        <v>33</v>
      </c>
      <c r="K4" s="165"/>
    </row>
    <row r="5" spans="2:13" x14ac:dyDescent="0.2">
      <c r="B5" s="137" t="s">
        <v>85</v>
      </c>
      <c r="C5" s="143">
        <f>SUMIF(Global!$H$4:$H$18,'LOT 1'!B5,Global!$D$4:$D$18)</f>
        <v>113559.24319954</v>
      </c>
      <c r="E5" s="103" t="s">
        <v>83</v>
      </c>
      <c r="F5" s="17">
        <f>SUMIF(Global!$C$4:$C$18,'LOT 1'!E5,Global!$D$4:$D$18)</f>
        <v>4232000</v>
      </c>
      <c r="G5" s="22">
        <f>F5/$F$9</f>
        <v>0.68195202084254425</v>
      </c>
      <c r="I5" s="16" t="s">
        <v>112</v>
      </c>
      <c r="J5" s="148">
        <f>SUMIFS(Tableau1[Emissions_kgCO2],Tableau1[Lot],'LOT 1'!$B$3,Tableau1[Poste],'LOT 1'!I5,Tableau1[Entité],'LOT 1'!$J$4)</f>
        <v>576000</v>
      </c>
      <c r="K5" s="166"/>
    </row>
    <row r="6" spans="2:13" x14ac:dyDescent="0.2">
      <c r="B6" s="138" t="s">
        <v>86</v>
      </c>
      <c r="C6" s="139">
        <f>SUMIF(Global!$H$4:$H$18,'LOT 1'!B6,Global!$D$4:$D$18)</f>
        <v>1296366.1779999998</v>
      </c>
      <c r="E6" s="103" t="s">
        <v>90</v>
      </c>
      <c r="F6" s="17">
        <f>SUMIF(Global!$C$4:$C$18,'LOT 1'!E6,Global!$D$4:$D$18)</f>
        <v>16009.6646</v>
      </c>
      <c r="G6" s="22">
        <f>F6/$F$9</f>
        <v>2.5798258806666689E-3</v>
      </c>
      <c r="I6" s="16" t="s">
        <v>114</v>
      </c>
      <c r="J6" s="148">
        <f>SUMIFS(Tableau1[Emissions_kgCO2],Tableau1[Lot],'LOT 1'!$B$3,Tableau1[Poste],'LOT 1'!I6,Tableau1[Entité],'LOT 1'!$J$4)</f>
        <v>12390</v>
      </c>
      <c r="K6" s="166"/>
    </row>
    <row r="7" spans="2:13" ht="17" thickBot="1" x14ac:dyDescent="0.25">
      <c r="B7" s="138" t="s">
        <v>87</v>
      </c>
      <c r="C7" s="139">
        <f>SUMIF(Global!$H$4:$H$18,'LOT 1'!B7,Global!$D$4:$D$18)</f>
        <v>6441149.9096153323</v>
      </c>
      <c r="E7" s="103" t="s">
        <v>91</v>
      </c>
      <c r="F7" s="17">
        <f>SUMIF(Global!$C$4:$C$18,'LOT 1'!E7,Global!$D$4:$D$18)</f>
        <v>1214640.504</v>
      </c>
      <c r="G7" s="22">
        <f>F7/$F$9</f>
        <v>0.19572933513705257</v>
      </c>
      <c r="I7" s="16" t="s">
        <v>115</v>
      </c>
      <c r="J7" s="148">
        <f>SUMIFS(Tableau1[Emissions_kgCO2],Tableau1[Lot],'LOT 1'!$B$3,Tableau1[Poste],'LOT 1'!I7,Tableau1[Entité],'LOT 1'!$J$4)</f>
        <v>216410</v>
      </c>
      <c r="K7" s="166"/>
    </row>
    <row r="8" spans="2:13" ht="17" thickBot="1" x14ac:dyDescent="0.25">
      <c r="B8" s="167" t="s">
        <v>11</v>
      </c>
      <c r="C8" s="168">
        <f>SUM(C5:C7)</f>
        <v>7851075.3308148719</v>
      </c>
      <c r="E8" s="103" t="s">
        <v>82</v>
      </c>
      <c r="F8" s="17">
        <f>SUMIF(Global!$C$4:$C$18,'LOT 1'!E8,Global!$D$4:$D$18)</f>
        <v>743065</v>
      </c>
      <c r="G8" s="22">
        <f>F8/$F$9</f>
        <v>0.11973881813973657</v>
      </c>
      <c r="I8" s="16" t="s">
        <v>144</v>
      </c>
      <c r="J8" s="148">
        <f>SUMIFS(Tableau1[Emissions_kgCO2],Tableau1[Lot],'LOT 1'!$B$3,Tableau1[Poste],'LOT 1'!I8,Tableau1[Entité],'LOT 1'!$J$4)</f>
        <v>3427200</v>
      </c>
      <c r="K8" s="166"/>
      <c r="M8" s="1"/>
    </row>
    <row r="9" spans="2:13" ht="17" thickBot="1" x14ac:dyDescent="0.25">
      <c r="D9" s="31"/>
      <c r="E9" s="15" t="s">
        <v>11</v>
      </c>
      <c r="F9" s="18">
        <f>SUM(F5:F8)</f>
        <v>6205715.1685999995</v>
      </c>
      <c r="G9" s="32">
        <f>SUM(G5:G8)</f>
        <v>1</v>
      </c>
      <c r="I9" s="15" t="s">
        <v>11</v>
      </c>
      <c r="J9" s="19">
        <f>SUM(J5:J8)</f>
        <v>4232000</v>
      </c>
      <c r="K9" s="36"/>
    </row>
    <row r="11" spans="2:13" ht="17" thickBot="1" x14ac:dyDescent="0.25"/>
    <row r="12" spans="2:13" ht="17" thickBot="1" x14ac:dyDescent="0.25">
      <c r="E12" s="37" t="s">
        <v>44</v>
      </c>
      <c r="F12" s="37"/>
      <c r="G12" s="75">
        <f>(F17/1000)/Global!$D$19</f>
        <v>0</v>
      </c>
      <c r="I12" s="243" t="s">
        <v>36</v>
      </c>
      <c r="J12" s="169" t="s">
        <v>34</v>
      </c>
    </row>
    <row r="13" spans="2:13" x14ac:dyDescent="0.2">
      <c r="E13" s="186" t="s">
        <v>61</v>
      </c>
      <c r="F13" s="187"/>
      <c r="G13" s="188"/>
      <c r="I13" s="16" t="s">
        <v>149</v>
      </c>
      <c r="J13" s="148">
        <f>SUMIFS(Tableau1[Emissions_kgCO2],Tableau1[Lot],'LOT 1'!$B$3,Tableau1[Poste],'LOT 1'!I13,Tableau1[Entité],'LOT 1'!$J$12)</f>
        <v>0</v>
      </c>
    </row>
    <row r="14" spans="2:13" x14ac:dyDescent="0.2">
      <c r="E14" s="20" t="s">
        <v>37</v>
      </c>
      <c r="F14" s="23" t="s">
        <v>3</v>
      </c>
      <c r="G14" s="21" t="s">
        <v>8</v>
      </c>
      <c r="I14" s="16" t="s">
        <v>150</v>
      </c>
      <c r="J14" s="148">
        <f>SUMIFS(Tableau1[Emissions_kgCO2],Tableau1[Lot],'LOT 1'!$B$3,Tableau1[Poste],'LOT 1'!I14,Tableau1[Entité],'LOT 1'!$J$12)</f>
        <v>0</v>
      </c>
    </row>
    <row r="15" spans="2:13" x14ac:dyDescent="0.2">
      <c r="E15" s="16" t="s">
        <v>108</v>
      </c>
      <c r="F15" s="24"/>
      <c r="G15" s="17">
        <f>F15/273</f>
        <v>0</v>
      </c>
      <c r="I15" s="16" t="s">
        <v>151</v>
      </c>
      <c r="J15" s="148">
        <f>SUMIFS(Tableau1[Emissions_kgCO2],Tableau1[Lot],'LOT 1'!$B$3,Tableau1[Poste],'LOT 1'!I15,Tableau1[Entité],'LOT 1'!$J$12)</f>
        <v>0</v>
      </c>
    </row>
    <row r="16" spans="2:13" ht="17" thickBot="1" x14ac:dyDescent="0.25">
      <c r="E16" s="16" t="s">
        <v>109</v>
      </c>
      <c r="F16" s="24"/>
      <c r="G16" s="17">
        <f>F16/27.9</f>
        <v>0</v>
      </c>
      <c r="H16" s="33"/>
      <c r="I16" s="16" t="s">
        <v>115</v>
      </c>
      <c r="J16" s="148">
        <f>SUMIFS(Tableau1[Emissions_kgCO2],Tableau1[Lot],'LOT 1'!$B$3,Tableau1[Poste],'LOT 1'!I16,Tableau1[Entité],'LOT 1'!$J$12)</f>
        <v>0</v>
      </c>
    </row>
    <row r="17" spans="5:10" ht="17" thickBot="1" x14ac:dyDescent="0.25">
      <c r="E17" s="15" t="s">
        <v>11</v>
      </c>
      <c r="F17" s="25">
        <f>SUM(F15:F16)</f>
        <v>0</v>
      </c>
      <c r="G17" s="19">
        <f>SUM(G15:G16)</f>
        <v>0</v>
      </c>
      <c r="H17" s="33"/>
      <c r="I17" s="244" t="s">
        <v>152</v>
      </c>
      <c r="J17" s="148">
        <f>SUMIFS(Tableau1[Emissions_kgCO2],Tableau1[Lot],'LOT 1'!$B$3,Tableau1[Poste],'LOT 1'!I17,Tableau1[Entité],'LOT 1'!$J$12)</f>
        <v>0</v>
      </c>
    </row>
    <row r="18" spans="5:10" ht="17" thickBot="1" x14ac:dyDescent="0.25">
      <c r="E18" s="5"/>
      <c r="F18" s="35"/>
      <c r="G18" s="36"/>
      <c r="H18" s="33"/>
      <c r="I18" s="15" t="s">
        <v>11</v>
      </c>
      <c r="J18" s="19">
        <f>SUM(J13:J16)</f>
        <v>0</v>
      </c>
    </row>
    <row r="19" spans="5:10" ht="17" thickBot="1" x14ac:dyDescent="0.25">
      <c r="E19" s="37" t="s">
        <v>44</v>
      </c>
      <c r="F19" s="37"/>
      <c r="G19" s="75">
        <f>(F26/1000)/Global!$D$19</f>
        <v>0</v>
      </c>
    </row>
    <row r="20" spans="5:10" x14ac:dyDescent="0.2">
      <c r="E20" s="186" t="s">
        <v>145</v>
      </c>
      <c r="F20" s="187"/>
      <c r="G20" s="188"/>
    </row>
    <row r="21" spans="5:10" x14ac:dyDescent="0.2">
      <c r="E21" s="20" t="s">
        <v>37</v>
      </c>
      <c r="F21" s="23" t="s">
        <v>3</v>
      </c>
      <c r="G21" s="21" t="s">
        <v>8</v>
      </c>
    </row>
    <row r="22" spans="5:10" x14ac:dyDescent="0.2">
      <c r="E22" s="16" t="s">
        <v>62</v>
      </c>
      <c r="F22" s="67">
        <f>SUMIFS(Tableau1[Emissions_kgCO2],Tableau1[Lot],$B$3,Tableau1[Poste],E22)</f>
        <v>0</v>
      </c>
      <c r="G22" s="17"/>
    </row>
    <row r="23" spans="5:10" x14ac:dyDescent="0.2">
      <c r="E23" s="16" t="s">
        <v>63</v>
      </c>
      <c r="F23" s="67">
        <f>SUMIFS(Tableau1[Emissions_kgCO2],Tableau1[Lot],$B$3,Tableau1[Poste],E23)</f>
        <v>0</v>
      </c>
      <c r="G23" s="17"/>
    </row>
    <row r="24" spans="5:10" x14ac:dyDescent="0.2">
      <c r="E24" s="16" t="s">
        <v>64</v>
      </c>
      <c r="F24" s="67">
        <f>SUMIFS(Tableau1[Emissions_kgCO2],Tableau1[Lot],$B$3,Tableau1[Poste],E24)</f>
        <v>0</v>
      </c>
      <c r="G24" s="17"/>
    </row>
    <row r="25" spans="5:10" ht="17" thickBot="1" x14ac:dyDescent="0.25">
      <c r="E25" s="16" t="s">
        <v>65</v>
      </c>
      <c r="F25" s="67">
        <f>SUMIFS(Tableau1[Emissions_kgCO2],Tableau1[Lot],$B$3,Tableau1[Poste],E25)</f>
        <v>0</v>
      </c>
      <c r="G25" s="17"/>
    </row>
    <row r="26" spans="5:10" ht="17" thickBot="1" x14ac:dyDescent="0.25">
      <c r="E26" s="15" t="s">
        <v>11</v>
      </c>
      <c r="F26" s="25">
        <f>SUM(F22:F25)</f>
        <v>0</v>
      </c>
      <c r="G26" s="19">
        <f>SUM(G22:G25)</f>
        <v>0</v>
      </c>
    </row>
    <row r="28" spans="5:10" ht="17" thickBot="1" x14ac:dyDescent="0.25">
      <c r="E28" t="s">
        <v>43</v>
      </c>
      <c r="G28" s="6">
        <f>(SUM(F31:F32)/1000)/Global!$D$19</f>
        <v>1.651195694062266E-4</v>
      </c>
      <c r="I28" s="38"/>
    </row>
    <row r="29" spans="5:10" ht="17" thickBot="1" x14ac:dyDescent="0.25">
      <c r="E29" s="182" t="s">
        <v>67</v>
      </c>
      <c r="F29" s="183"/>
      <c r="G29" s="184"/>
    </row>
    <row r="30" spans="5:10" x14ac:dyDescent="0.2">
      <c r="E30" s="70" t="s">
        <v>37</v>
      </c>
      <c r="F30" s="149" t="s">
        <v>3</v>
      </c>
      <c r="G30" s="150" t="s">
        <v>42</v>
      </c>
    </row>
    <row r="31" spans="5:10" x14ac:dyDescent="0.2">
      <c r="E31" s="16" t="s">
        <v>40</v>
      </c>
      <c r="F31" s="67">
        <f>SUMIFS(Tableau1[Emissions_kgCO2],Tableau1[Lot],'LOT 1'!B3,Tableau1[Entité],"AEP",Tableau1[Catégorie],"Energie")</f>
        <v>1296366.1779999998</v>
      </c>
      <c r="G31" s="151">
        <f>SUMIFS(Tableau1[Quantité],Tableau1[Lot],'LOT 1'!B3,Tableau1[Entité],"AEP",Tableau1[Catégorie],"Energie")</f>
        <v>22351141</v>
      </c>
    </row>
    <row r="32" spans="5:10" ht="17" thickBot="1" x14ac:dyDescent="0.25">
      <c r="E32" s="28" t="s">
        <v>41</v>
      </c>
      <c r="F32" s="68">
        <f>SUMIFS(Tableau1[Emissions_kgCO2],Tableau1[Lot],'LOT 1'!B3,Tableau1[Entité],"EU",Tableau1[Catégorie],"Energie")</f>
        <v>0</v>
      </c>
      <c r="G32" s="152">
        <f>SUMIFS(Tableau1[Quantité],Tableau1[Lot],'LOT 1'!B4,Tableau1[Entité],"EU",Tableau1[Catégorie],"Energie")</f>
        <v>0</v>
      </c>
    </row>
    <row r="33" spans="5:8" x14ac:dyDescent="0.2">
      <c r="E33" s="156" t="s">
        <v>71</v>
      </c>
      <c r="F33" s="157">
        <v>0.23</v>
      </c>
      <c r="H33" s="33"/>
    </row>
    <row r="34" spans="5:8" x14ac:dyDescent="0.2">
      <c r="E34" s="158" t="s">
        <v>73</v>
      </c>
      <c r="F34" s="159">
        <v>0.69</v>
      </c>
    </row>
    <row r="35" spans="5:8" ht="17" thickBot="1" x14ac:dyDescent="0.25">
      <c r="E35" s="160" t="s">
        <v>72</v>
      </c>
      <c r="F35" s="161">
        <v>0.09</v>
      </c>
    </row>
    <row r="38" spans="5:8" ht="17" thickBot="1" x14ac:dyDescent="0.25"/>
    <row r="39" spans="5:8" ht="17" thickBot="1" x14ac:dyDescent="0.25">
      <c r="E39" s="179" t="s">
        <v>39</v>
      </c>
      <c r="F39" s="180"/>
      <c r="G39" s="181"/>
      <c r="H39" s="164">
        <f>SUM(H40:H46)</f>
        <v>4.4451743170148744E-2</v>
      </c>
    </row>
    <row r="40" spans="5:8" x14ac:dyDescent="0.2">
      <c r="E40" s="155" t="s">
        <v>50</v>
      </c>
      <c r="F40" s="162">
        <f>SUMIF(Global!$C$4:$C$18,'LOT 1'!E40,Global!$D$4:$D$18)</f>
        <v>224131.91401533334</v>
      </c>
      <c r="G40" s="163" t="s">
        <v>146</v>
      </c>
      <c r="H40" s="153">
        <f>F40/Global!$D$19</f>
        <v>2.8547925547935154E-2</v>
      </c>
    </row>
    <row r="41" spans="5:8" x14ac:dyDescent="0.2">
      <c r="E41" s="16" t="s">
        <v>59</v>
      </c>
      <c r="F41" s="26">
        <f>SUMIF(Global!$C$4:$C$18,'LOT 1'!E41,Global!$D$4:$D$18)</f>
        <v>0</v>
      </c>
      <c r="G41" s="27" t="s">
        <v>146</v>
      </c>
      <c r="H41" s="153">
        <f>F41/Global!$D$19</f>
        <v>0</v>
      </c>
    </row>
    <row r="42" spans="5:8" x14ac:dyDescent="0.2">
      <c r="E42" s="16" t="s">
        <v>94</v>
      </c>
      <c r="F42" s="26">
        <f>SUMIF(Global!$C$4:$C$18,'LOT 1'!E42,Global!$D$4:$D$18)</f>
        <v>0</v>
      </c>
      <c r="G42" s="27" t="s">
        <v>146</v>
      </c>
      <c r="H42" s="153">
        <f>F42/Global!$D$19</f>
        <v>0</v>
      </c>
    </row>
    <row r="43" spans="5:8" x14ac:dyDescent="0.2">
      <c r="E43" s="16" t="s">
        <v>140</v>
      </c>
      <c r="F43" s="26">
        <f>SUMIF(Global!$C$4:$C$18,'LOT 1'!E43,Global!$D$4:$D$18)</f>
        <v>11302.827000000001</v>
      </c>
      <c r="G43" s="27" t="s">
        <v>146</v>
      </c>
      <c r="H43" s="153">
        <f>F43/Global!$D$19</f>
        <v>1.4396533625957281E-3</v>
      </c>
    </row>
    <row r="44" spans="5:8" x14ac:dyDescent="0.2">
      <c r="E44" s="16" t="s">
        <v>47</v>
      </c>
      <c r="F44" s="26">
        <f>SUMIF(Global!$C$4:$C$18,'LOT 1'!E44,Global!$D$4:$D$18)</f>
        <v>113559.24319954</v>
      </c>
      <c r="G44" s="27" t="s">
        <v>146</v>
      </c>
      <c r="H44" s="153">
        <f>F44/Global!$D$19</f>
        <v>1.4464164259617865E-2</v>
      </c>
    </row>
    <row r="45" spans="5:8" x14ac:dyDescent="0.2">
      <c r="E45" s="16" t="s">
        <v>51</v>
      </c>
      <c r="F45" s="26">
        <f>SUMIF(Global!$C$4:$C$18,'LOT 1'!E45,Global!$D$4:$D$18)</f>
        <v>0</v>
      </c>
      <c r="G45" s="27" t="s">
        <v>146</v>
      </c>
      <c r="H45" s="153">
        <f>F45/Global!$D$19</f>
        <v>0</v>
      </c>
    </row>
    <row r="46" spans="5:8" ht="17" thickBot="1" x14ac:dyDescent="0.25">
      <c r="E46" s="28" t="s">
        <v>95</v>
      </c>
      <c r="F46" s="29">
        <f>SUMIF(Global!$C$4:$C$18,'LOT 1'!E46,Global!$D$4:$D$18)</f>
        <v>0</v>
      </c>
      <c r="G46" s="30" t="s">
        <v>146</v>
      </c>
      <c r="H46" s="154">
        <f>F46/Global!$D$19</f>
        <v>0</v>
      </c>
    </row>
  </sheetData>
  <mergeCells count="6">
    <mergeCell ref="E29:G29"/>
    <mergeCell ref="E39:G39"/>
    <mergeCell ref="E1:M1"/>
    <mergeCell ref="E4:G4"/>
    <mergeCell ref="E20:G20"/>
    <mergeCell ref="E13:G1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84693-BE25-D34D-B4E7-8F4D7815C7CB}">
  <sheetPr codeName="Feuil4">
    <tabColor theme="5"/>
  </sheetPr>
  <dimension ref="B1:M46"/>
  <sheetViews>
    <sheetView showGridLines="0" topLeftCell="B1" zoomScale="85" zoomScaleNormal="85" workbookViewId="0">
      <selection activeCell="I38" sqref="I38"/>
    </sheetView>
  </sheetViews>
  <sheetFormatPr baseColWidth="10" defaultRowHeight="16" x14ac:dyDescent="0.2"/>
  <cols>
    <col min="2" max="2" width="28.140625" customWidth="1"/>
    <col min="3" max="3" width="12.42578125" customWidth="1"/>
    <col min="4" max="4" width="16.28515625" customWidth="1"/>
    <col min="5" max="5" width="24" bestFit="1" customWidth="1"/>
    <col min="6" max="6" width="12.5703125" bestFit="1" customWidth="1"/>
    <col min="7" max="7" width="11.85546875" bestFit="1" customWidth="1"/>
    <col min="8" max="8" width="11.7109375" customWidth="1"/>
    <col min="9" max="9" width="34.5703125" customWidth="1"/>
    <col min="10" max="10" width="12.7109375" customWidth="1"/>
    <col min="11" max="11" width="10.140625" customWidth="1"/>
    <col min="12" max="12" width="12.140625" customWidth="1"/>
  </cols>
  <sheetData>
    <row r="1" spans="2:13" s="14" customFormat="1" ht="75" customHeight="1" x14ac:dyDescent="0.2">
      <c r="B1" s="145" t="str">
        <f>"Résutats globaux - " &amp;Global!E3</f>
        <v>Résutats globaux -  St-Leu</v>
      </c>
      <c r="E1" s="185"/>
      <c r="F1" s="185"/>
      <c r="G1" s="185"/>
      <c r="H1" s="185"/>
      <c r="I1" s="185"/>
      <c r="J1" s="185"/>
      <c r="K1" s="185"/>
      <c r="L1" s="185"/>
      <c r="M1" s="185"/>
    </row>
    <row r="2" spans="2:13" ht="27" customHeight="1" thickBot="1" x14ac:dyDescent="0.25"/>
    <row r="3" spans="2:13" ht="26" customHeight="1" thickBot="1" x14ac:dyDescent="0.25">
      <c r="B3" s="144" t="str">
        <f>Global!E3</f>
        <v xml:space="preserve"> St-Leu</v>
      </c>
      <c r="E3" s="37" t="s">
        <v>44</v>
      </c>
      <c r="F3" s="37"/>
      <c r="G3" s="75">
        <f>F9/Global!$E$19</f>
        <v>0.85510466740768776</v>
      </c>
    </row>
    <row r="4" spans="2:13" ht="18" customHeight="1" thickBot="1" x14ac:dyDescent="0.25">
      <c r="B4" s="146" t="s">
        <v>142</v>
      </c>
      <c r="C4" s="147" t="s">
        <v>38</v>
      </c>
      <c r="E4" s="186" t="s">
        <v>35</v>
      </c>
      <c r="F4" s="187"/>
      <c r="G4" s="188"/>
      <c r="I4" s="243" t="s">
        <v>36</v>
      </c>
      <c r="J4" s="245" t="s">
        <v>33</v>
      </c>
      <c r="K4" s="165"/>
    </row>
    <row r="5" spans="2:13" x14ac:dyDescent="0.2">
      <c r="B5" s="137" t="s">
        <v>85</v>
      </c>
      <c r="C5" s="143">
        <f>SUMIF(Global!$H$4:$H$18,'LOT 2'!B5,Global!$E$4:$E$18)</f>
        <v>62965.326130903937</v>
      </c>
      <c r="E5" s="103" t="s">
        <v>83</v>
      </c>
      <c r="F5" s="17">
        <f>SUMIF(Global!$C$4:$C$18,'LOT 2'!E5,Global!$E$4:$E$18)</f>
        <v>1497468</v>
      </c>
      <c r="G5" s="22">
        <f>F5/$F$9</f>
        <v>0.65697585716107421</v>
      </c>
      <c r="I5" s="16" t="s">
        <v>112</v>
      </c>
      <c r="J5" s="148">
        <f>SUMIFS(Tableau1[Emissions_kgCO2],Tableau1[Lot],'LOT 2'!$B$3,Tableau1[Poste],'LOT 2'!I5,Tableau1[Entité],'LOT 2'!J4)</f>
        <v>176400</v>
      </c>
      <c r="K5" s="166"/>
    </row>
    <row r="6" spans="2:13" x14ac:dyDescent="0.2">
      <c r="B6" s="138" t="s">
        <v>86</v>
      </c>
      <c r="C6" s="139">
        <f>SUMIF(Global!$H$4:$H$18,'LOT 2'!B6,Global!$E$4:$E$18)</f>
        <v>311083.40599999996</v>
      </c>
      <c r="E6" s="103" t="s">
        <v>90</v>
      </c>
      <c r="F6" s="17">
        <f>SUMIF(Global!$C$4:$C$18,'LOT 2'!E6,Global!$E$4:$E$18)</f>
        <v>8716.9553599999999</v>
      </c>
      <c r="G6" s="22">
        <f>F6/$F$9</f>
        <v>3.8243416349937496E-3</v>
      </c>
      <c r="I6" s="16" t="s">
        <v>114</v>
      </c>
      <c r="J6" s="148">
        <f>SUMIFS(Tableau1[Emissions_kgCO2],Tableau1[Lot],'LOT 2'!$B$3,Tableau1[Poste],'LOT 2'!I6,Tableau1[Entité],'LOT 2'!J4)</f>
        <v>7308</v>
      </c>
      <c r="K6" s="166"/>
    </row>
    <row r="7" spans="2:13" ht="17" thickBot="1" x14ac:dyDescent="0.25">
      <c r="B7" s="138" t="s">
        <v>87</v>
      </c>
      <c r="C7" s="139">
        <f>SUMIF(Global!$H$4:$H$18,'LOT 2'!B7,Global!$E$4:$E$18)</f>
        <v>2291513.7274800004</v>
      </c>
      <c r="E7" s="103" t="s">
        <v>91</v>
      </c>
      <c r="F7" s="17">
        <f>SUMIF(Global!$C$4:$C$18,'LOT 2'!E7,Global!$E$4:$E$18)</f>
        <v>569339.1</v>
      </c>
      <c r="G7" s="22">
        <f>F7/$F$9</f>
        <v>0.2497829958555472</v>
      </c>
      <c r="I7" s="16" t="s">
        <v>115</v>
      </c>
      <c r="J7" s="148">
        <f>SUMIFS(Tableau1[Emissions_kgCO2],Tableau1[Lot],'LOT 2'!$B$3,Tableau1[Poste],'LOT 2'!I7,Tableau1[Entité],'LOT 2'!J4)</f>
        <v>0</v>
      </c>
      <c r="K7" s="166"/>
    </row>
    <row r="8" spans="2:13" ht="17" thickBot="1" x14ac:dyDescent="0.25">
      <c r="B8" s="167" t="s">
        <v>11</v>
      </c>
      <c r="C8" s="168">
        <f>SUM(C5:C7)</f>
        <v>2665562.4596109041</v>
      </c>
      <c r="E8" s="103" t="s">
        <v>82</v>
      </c>
      <c r="F8" s="17">
        <f>SUMIF(Global!$C$4:$C$18,'LOT 2'!E8,Global!$E$4:$E$18)</f>
        <v>203810.84512000004</v>
      </c>
      <c r="G8" s="22">
        <f>F8/$F$9</f>
        <v>8.9416805348384712E-2</v>
      </c>
      <c r="I8" s="16" t="s">
        <v>144</v>
      </c>
      <c r="J8" s="148">
        <f>SUMIFS(Tableau1[Emissions_kgCO2],Tableau1[Lot],'LOT 2'!$B$3,Tableau1[Poste],'LOT 2'!I8,Tableau1[Entité],'LOT 2'!J4)</f>
        <v>1313760</v>
      </c>
      <c r="K8" s="166"/>
      <c r="M8" s="1"/>
    </row>
    <row r="9" spans="2:13" ht="17" thickBot="1" x14ac:dyDescent="0.25">
      <c r="D9" s="31"/>
      <c r="E9" s="15" t="s">
        <v>11</v>
      </c>
      <c r="F9" s="18">
        <f>SUM(F5:F8)</f>
        <v>2279334.9004800003</v>
      </c>
      <c r="G9" s="32">
        <f>SUM(G5:G8)</f>
        <v>0.99999999999999989</v>
      </c>
      <c r="I9" s="15" t="s">
        <v>11</v>
      </c>
      <c r="J9" s="19">
        <f>SUM(J5:J8)</f>
        <v>1497468</v>
      </c>
      <c r="K9" s="36"/>
    </row>
    <row r="11" spans="2:13" ht="17" thickBot="1" x14ac:dyDescent="0.25"/>
    <row r="12" spans="2:13" ht="17" thickBot="1" x14ac:dyDescent="0.25">
      <c r="E12" s="37" t="s">
        <v>44</v>
      </c>
      <c r="F12" s="37"/>
      <c r="G12" s="75">
        <f>(F17)/Global!$E$19</f>
        <v>0</v>
      </c>
      <c r="I12" s="243" t="s">
        <v>36</v>
      </c>
      <c r="J12" s="245" t="s">
        <v>34</v>
      </c>
    </row>
    <row r="13" spans="2:13" x14ac:dyDescent="0.2">
      <c r="E13" s="186" t="s">
        <v>61</v>
      </c>
      <c r="F13" s="187"/>
      <c r="G13" s="188"/>
      <c r="I13" s="16" t="s">
        <v>149</v>
      </c>
      <c r="J13" s="148">
        <f>SUMIFS(Tableau1[Emissions_kgCO2],Tableau1[Lot],'LOT 2'!$B$3,Tableau1[Poste],'LOT 2'!I13,Tableau1[Entité],'LOT 2'!$J$12)</f>
        <v>0</v>
      </c>
    </row>
    <row r="14" spans="2:13" x14ac:dyDescent="0.2">
      <c r="E14" s="20" t="s">
        <v>37</v>
      </c>
      <c r="F14" s="23" t="s">
        <v>3</v>
      </c>
      <c r="G14" s="21" t="s">
        <v>8</v>
      </c>
      <c r="I14" s="16" t="s">
        <v>150</v>
      </c>
      <c r="J14" s="148">
        <f>SUMIFS(Tableau1[Emissions_kgCO2],Tableau1[Lot],'LOT 2'!$B$3,Tableau1[Poste],'LOT 2'!I14,Tableau1[Entité],'LOT 2'!$J$12)</f>
        <v>0</v>
      </c>
    </row>
    <row r="15" spans="2:13" x14ac:dyDescent="0.2">
      <c r="E15" s="16" t="s">
        <v>108</v>
      </c>
      <c r="F15" s="24"/>
      <c r="G15" s="17">
        <f>F15/273</f>
        <v>0</v>
      </c>
      <c r="I15" s="16" t="s">
        <v>151</v>
      </c>
      <c r="J15" s="148">
        <f>SUMIFS(Tableau1[Emissions_kgCO2],Tableau1[Lot],'LOT 2'!$B$3,Tableau1[Poste],'LOT 2'!I15,Tableau1[Entité],'LOT 2'!$J$12)</f>
        <v>0</v>
      </c>
    </row>
    <row r="16" spans="2:13" ht="17" thickBot="1" x14ac:dyDescent="0.25">
      <c r="E16" s="16" t="s">
        <v>109</v>
      </c>
      <c r="F16" s="24"/>
      <c r="G16" s="17">
        <f>F16/27.9</f>
        <v>0</v>
      </c>
      <c r="H16" s="33"/>
      <c r="I16" s="16" t="s">
        <v>115</v>
      </c>
      <c r="J16" s="148">
        <f>SUMIFS(Tableau1[Emissions_kgCO2],Tableau1[Lot],'LOT 2'!$B$3,Tableau1[Poste],'LOT 2'!I16,Tableau1[Entité],'LOT 2'!$J$12)</f>
        <v>0</v>
      </c>
    </row>
    <row r="17" spans="5:10" ht="17" thickBot="1" x14ac:dyDescent="0.25">
      <c r="E17" s="15" t="s">
        <v>11</v>
      </c>
      <c r="F17" s="25">
        <f>SUM(F15:F16)</f>
        <v>0</v>
      </c>
      <c r="G17" s="19">
        <f>SUM(G15:G16)</f>
        <v>0</v>
      </c>
      <c r="H17" s="33"/>
      <c r="I17" s="244" t="s">
        <v>152</v>
      </c>
      <c r="J17" s="148">
        <f>SUMIFS(Tableau1[Emissions_kgCO2],Tableau1[Lot],'LOT 2'!$B$3,Tableau1[Poste],'LOT 2'!I17,Tableau1[Entité],'LOT 2'!$J$12)</f>
        <v>0</v>
      </c>
    </row>
    <row r="18" spans="5:10" ht="17" thickBot="1" x14ac:dyDescent="0.25">
      <c r="E18" s="5"/>
      <c r="F18" s="35"/>
      <c r="G18" s="36"/>
      <c r="H18" s="33"/>
      <c r="I18" s="15" t="s">
        <v>11</v>
      </c>
      <c r="J18" s="19">
        <f>SUM(J13:J16)</f>
        <v>0</v>
      </c>
    </row>
    <row r="19" spans="5:10" ht="17" thickBot="1" x14ac:dyDescent="0.25">
      <c r="E19" s="37" t="s">
        <v>44</v>
      </c>
      <c r="F19" s="37"/>
      <c r="G19" s="75">
        <f>(F26)/Global!$E$19</f>
        <v>0</v>
      </c>
    </row>
    <row r="20" spans="5:10" x14ac:dyDescent="0.2">
      <c r="E20" s="186" t="s">
        <v>145</v>
      </c>
      <c r="F20" s="187"/>
      <c r="G20" s="188"/>
    </row>
    <row r="21" spans="5:10" x14ac:dyDescent="0.2">
      <c r="E21" s="20" t="s">
        <v>37</v>
      </c>
      <c r="F21" s="23" t="s">
        <v>3</v>
      </c>
      <c r="G21" s="21" t="s">
        <v>8</v>
      </c>
    </row>
    <row r="22" spans="5:10" x14ac:dyDescent="0.2">
      <c r="E22" s="16" t="s">
        <v>62</v>
      </c>
      <c r="F22" s="67">
        <f>SUMIFS(Tableau1[Emissions_kgCO2],Tableau1[Lot],$B$3,Tableau1[Poste],E22)</f>
        <v>0</v>
      </c>
      <c r="G22" s="17"/>
    </row>
    <row r="23" spans="5:10" x14ac:dyDescent="0.2">
      <c r="E23" s="16" t="s">
        <v>63</v>
      </c>
      <c r="F23" s="67">
        <f>SUMIFS(Tableau1[Emissions_kgCO2],Tableau1[Lot],$B$3,Tableau1[Poste],E23)</f>
        <v>0</v>
      </c>
      <c r="G23" s="17"/>
    </row>
    <row r="24" spans="5:10" x14ac:dyDescent="0.2">
      <c r="E24" s="16" t="s">
        <v>64</v>
      </c>
      <c r="F24" s="67">
        <f>SUMIFS(Tableau1[Emissions_kgCO2],Tableau1[Lot],$B$3,Tableau1[Poste],E24)</f>
        <v>0</v>
      </c>
      <c r="G24" s="17"/>
    </row>
    <row r="25" spans="5:10" ht="17" thickBot="1" x14ac:dyDescent="0.25">
      <c r="E25" s="16" t="s">
        <v>65</v>
      </c>
      <c r="F25" s="67">
        <f>SUMIFS(Tableau1[Emissions_kgCO2],Tableau1[Lot],$B$3,Tableau1[Poste],E25)</f>
        <v>0</v>
      </c>
      <c r="G25" s="17"/>
    </row>
    <row r="26" spans="5:10" ht="17" thickBot="1" x14ac:dyDescent="0.25">
      <c r="E26" s="15" t="s">
        <v>11</v>
      </c>
      <c r="F26" s="25">
        <f>SUM(F22:F25)</f>
        <v>0</v>
      </c>
      <c r="G26" s="19">
        <f>SUM(G22:G25)</f>
        <v>0</v>
      </c>
    </row>
    <row r="28" spans="5:10" ht="17" thickBot="1" x14ac:dyDescent="0.25">
      <c r="E28" s="37" t="s">
        <v>43</v>
      </c>
      <c r="F28" s="37"/>
      <c r="G28" s="75">
        <f>(SUM(F31:F32))/Global!$E$19</f>
        <v>0.11670460201687011</v>
      </c>
      <c r="I28" s="38"/>
    </row>
    <row r="29" spans="5:10" ht="17" thickBot="1" x14ac:dyDescent="0.25">
      <c r="E29" s="182" t="s">
        <v>67</v>
      </c>
      <c r="F29" s="183"/>
      <c r="G29" s="184"/>
    </row>
    <row r="30" spans="5:10" x14ac:dyDescent="0.2">
      <c r="E30" s="70" t="s">
        <v>37</v>
      </c>
      <c r="F30" s="149" t="s">
        <v>3</v>
      </c>
      <c r="G30" s="150" t="s">
        <v>42</v>
      </c>
    </row>
    <row r="31" spans="5:10" x14ac:dyDescent="0.2">
      <c r="E31" s="16" t="s">
        <v>40</v>
      </c>
      <c r="F31" s="67">
        <f>SUMIFS(Tableau1[Emissions_kgCO2],Tableau1[Lot],'LOT 2'!B3,Tableau1[Entité],"AEP",Tableau1[Catégorie],"Energie")</f>
        <v>311083.40599999996</v>
      </c>
      <c r="G31" s="151">
        <f>SUMIFS(Tableau1[Quantité],Tableau1[Lot],'LOT 2'!B3,Tableau1[Entité],"AEP",Tableau1[Catégorie],"Energie")</f>
        <v>0</v>
      </c>
    </row>
    <row r="32" spans="5:10" ht="17" thickBot="1" x14ac:dyDescent="0.25">
      <c r="E32" s="28" t="s">
        <v>41</v>
      </c>
      <c r="F32" s="68">
        <f>SUMIFS(Tableau1[Emissions_kgCO2],Tableau1[Lot],'LOT 2'!B3,Tableau1[Entité],"EU",Tableau1[Catégorie],"Energie")</f>
        <v>0</v>
      </c>
      <c r="G32" s="152">
        <f>SUMIFS(Tableau1[Quantité],Tableau1[Lot],'LOT 2'!B4,Tableau1[Entité],"EU",Tableau1[Catégorie],"Energie")</f>
        <v>0</v>
      </c>
    </row>
    <row r="33" spans="5:8" x14ac:dyDescent="0.2">
      <c r="E33" s="156" t="s">
        <v>71</v>
      </c>
      <c r="F33" s="157">
        <v>0.23</v>
      </c>
      <c r="H33" s="33"/>
    </row>
    <row r="34" spans="5:8" x14ac:dyDescent="0.2">
      <c r="E34" s="158" t="s">
        <v>73</v>
      </c>
      <c r="F34" s="159">
        <v>0.69</v>
      </c>
    </row>
    <row r="35" spans="5:8" ht="17" thickBot="1" x14ac:dyDescent="0.25">
      <c r="E35" s="160" t="s">
        <v>72</v>
      </c>
      <c r="F35" s="161">
        <v>0.09</v>
      </c>
    </row>
    <row r="38" spans="5:8" ht="17" thickBot="1" x14ac:dyDescent="0.25"/>
    <row r="39" spans="5:8" ht="17" thickBot="1" x14ac:dyDescent="0.25">
      <c r="E39" s="179" t="s">
        <v>39</v>
      </c>
      <c r="F39" s="180"/>
      <c r="G39" s="181"/>
      <c r="H39" s="164">
        <f>SUM(H40:H46)</f>
        <v>2.8190730575442167E-2</v>
      </c>
    </row>
    <row r="40" spans="5:8" x14ac:dyDescent="0.2">
      <c r="E40" s="155" t="s">
        <v>50</v>
      </c>
      <c r="F40" s="162">
        <f>SUMIF(Global!$C$4:$C$18,'LOT 2'!E40,Global!$E$4:$E$18)</f>
        <v>876</v>
      </c>
      <c r="G40" s="163" t="s">
        <v>146</v>
      </c>
      <c r="H40" s="153">
        <f>F40/Global!$E$19</f>
        <v>3.2863608085472172E-4</v>
      </c>
    </row>
    <row r="41" spans="5:8" x14ac:dyDescent="0.2">
      <c r="E41" s="16" t="s">
        <v>59</v>
      </c>
      <c r="F41" s="26">
        <f>SUMIF(Global!$C$4:$C$18,'LOT 2'!E41,Global!$E$4:$E$18)</f>
        <v>0</v>
      </c>
      <c r="G41" s="27" t="s">
        <v>146</v>
      </c>
      <c r="H41" s="153">
        <f>F41/Global!$E$19</f>
        <v>0</v>
      </c>
    </row>
    <row r="42" spans="5:8" x14ac:dyDescent="0.2">
      <c r="E42" s="16" t="s">
        <v>94</v>
      </c>
      <c r="F42" s="26">
        <f>SUMIF(Global!$C$4:$C$18,'LOT 2'!E42,Global!$E$4:$E$18)</f>
        <v>0</v>
      </c>
      <c r="G42" s="27" t="s">
        <v>146</v>
      </c>
      <c r="H42" s="153">
        <f>F42/Global!$E$19</f>
        <v>0</v>
      </c>
    </row>
    <row r="43" spans="5:8" x14ac:dyDescent="0.2">
      <c r="E43" s="16" t="s">
        <v>140</v>
      </c>
      <c r="F43" s="26">
        <f>SUMIF(Global!$C$4:$C$18,'LOT 2'!E43,Global!$E$4:$E$18)</f>
        <v>11302.827000000001</v>
      </c>
      <c r="G43" s="27" t="s">
        <v>146</v>
      </c>
      <c r="H43" s="153">
        <f>F43/Global!$E$19</f>
        <v>4.2403159450444435E-3</v>
      </c>
    </row>
    <row r="44" spans="5:8" x14ac:dyDescent="0.2">
      <c r="E44" s="16" t="s">
        <v>47</v>
      </c>
      <c r="F44" s="26">
        <f>SUMIF(Global!$C$4:$C$18,'LOT 2'!E44,Global!$E$4:$E$18)</f>
        <v>62965.326130903937</v>
      </c>
      <c r="G44" s="27" t="s">
        <v>146</v>
      </c>
      <c r="H44" s="153">
        <f>F44/Global!$E$19</f>
        <v>2.3621778549543001E-2</v>
      </c>
    </row>
    <row r="45" spans="5:8" x14ac:dyDescent="0.2">
      <c r="E45" s="16" t="s">
        <v>51</v>
      </c>
      <c r="F45" s="26">
        <f>SUMIF(Global!$C$4:$C$18,'LOT 2'!E45,Global!$E$4:$E$18)</f>
        <v>0</v>
      </c>
      <c r="G45" s="27" t="s">
        <v>146</v>
      </c>
      <c r="H45" s="153">
        <f>F45/Global!$E$19</f>
        <v>0</v>
      </c>
    </row>
    <row r="46" spans="5:8" ht="17" thickBot="1" x14ac:dyDescent="0.25">
      <c r="E46" s="28" t="s">
        <v>95</v>
      </c>
      <c r="F46" s="29">
        <f>SUMIF(Global!$C$4:$C$18,'LOT 2'!E46,Global!$E$4:$E$18)</f>
        <v>0</v>
      </c>
      <c r="G46" s="30" t="s">
        <v>146</v>
      </c>
      <c r="H46" s="154">
        <f>F46/Global!$E$19</f>
        <v>0</v>
      </c>
    </row>
  </sheetData>
  <mergeCells count="6">
    <mergeCell ref="E39:G39"/>
    <mergeCell ref="E1:M1"/>
    <mergeCell ref="E4:G4"/>
    <mergeCell ref="E13:G13"/>
    <mergeCell ref="E20:G20"/>
    <mergeCell ref="E29:G29"/>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B0196-A782-F74B-BFE0-BA4C64F99C89}">
  <sheetPr codeName="Feuil17">
    <tabColor theme="5"/>
  </sheetPr>
  <dimension ref="B1:W46"/>
  <sheetViews>
    <sheetView showGridLines="0" tabSelected="1" topLeftCell="B1" zoomScale="85" zoomScaleNormal="85" workbookViewId="0">
      <selection activeCell="I42" sqref="I42"/>
    </sheetView>
  </sheetViews>
  <sheetFormatPr baseColWidth="10" defaultRowHeight="16" x14ac:dyDescent="0.2"/>
  <cols>
    <col min="2" max="2" width="28.140625" customWidth="1"/>
    <col min="3" max="3" width="12.42578125" customWidth="1"/>
    <col min="4" max="4" width="16.28515625" customWidth="1"/>
    <col min="5" max="5" width="24" bestFit="1" customWidth="1"/>
    <col min="6" max="6" width="12.5703125" bestFit="1" customWidth="1"/>
    <col min="7" max="7" width="11.85546875" bestFit="1" customWidth="1"/>
    <col min="8" max="8" width="11.7109375" customWidth="1"/>
    <col min="9" max="9" width="35.5703125" customWidth="1"/>
    <col min="10" max="10" width="12.7109375" customWidth="1"/>
    <col min="11" max="11" width="10.140625" customWidth="1"/>
    <col min="12" max="12" width="12.140625" customWidth="1"/>
  </cols>
  <sheetData>
    <row r="1" spans="2:23" s="14" customFormat="1" ht="75" customHeight="1" x14ac:dyDescent="0.2">
      <c r="B1" s="145" t="str">
        <f>"Résutats globaux - " &amp;Global!F3</f>
        <v>Résutats globaux - CiNOR</v>
      </c>
      <c r="E1" s="185"/>
      <c r="F1" s="185"/>
      <c r="G1" s="185"/>
      <c r="H1" s="185"/>
      <c r="I1" s="185"/>
      <c r="J1" s="185"/>
      <c r="K1" s="185"/>
      <c r="L1" s="185"/>
      <c r="M1" s="185"/>
    </row>
    <row r="2" spans="2:23" ht="27" customHeight="1" thickBot="1" x14ac:dyDescent="0.25"/>
    <row r="3" spans="2:23" ht="26" customHeight="1" thickBot="1" x14ac:dyDescent="0.25">
      <c r="B3" s="144" t="str">
        <f>Indicateurs!B6</f>
        <v>CiNOR</v>
      </c>
      <c r="E3" s="37" t="s">
        <v>44</v>
      </c>
      <c r="F3" s="37"/>
      <c r="G3" s="75">
        <f>F9/Global!$E$19</f>
        <v>1.8105158641469103</v>
      </c>
    </row>
    <row r="4" spans="2:23" ht="18" customHeight="1" thickBot="1" x14ac:dyDescent="0.25">
      <c r="B4" s="146" t="s">
        <v>142</v>
      </c>
      <c r="C4" s="147" t="s">
        <v>38</v>
      </c>
      <c r="E4" s="186" t="s">
        <v>35</v>
      </c>
      <c r="F4" s="187"/>
      <c r="G4" s="188"/>
      <c r="I4" s="243" t="s">
        <v>36</v>
      </c>
      <c r="J4" s="245" t="s">
        <v>33</v>
      </c>
      <c r="K4" s="165"/>
    </row>
    <row r="5" spans="2:23" x14ac:dyDescent="0.2">
      <c r="B5" s="137" t="s">
        <v>85</v>
      </c>
      <c r="C5" s="143">
        <f>SUMIF(Global!$H$4:$H$18,'LOT 3'!B5,Global!$F$4:$F$18)</f>
        <v>120564</v>
      </c>
      <c r="E5" s="103" t="s">
        <v>83</v>
      </c>
      <c r="F5" s="17">
        <f>SUMIF(Global!$C$4:$C$18,'LOT 3'!E5,Global!$F$4:$F$18)</f>
        <v>3142391</v>
      </c>
      <c r="G5" s="22">
        <f>F5/$F$9</f>
        <v>0.65113197745319773</v>
      </c>
      <c r="I5" s="16" t="s">
        <v>112</v>
      </c>
      <c r="J5" s="148">
        <f>SUMIFS(Tableau1[Emissions_kgCO2],Tableau1[Lot],'LOT 3'!$B$3,Tableau1[Poste],'LOT 3'!I5,Tableau1[Entité],'LOT 3'!$J$4)</f>
        <v>400000</v>
      </c>
      <c r="K5" s="166"/>
      <c r="W5" s="246"/>
    </row>
    <row r="6" spans="2:23" x14ac:dyDescent="0.2">
      <c r="B6" s="138" t="s">
        <v>86</v>
      </c>
      <c r="C6" s="139">
        <f>SUMIF(Global!$H$4:$H$18,'LOT 3'!B6,Global!$F$4:$F$18)</f>
        <v>909958.29399999999</v>
      </c>
      <c r="E6" s="103" t="s">
        <v>90</v>
      </c>
      <c r="F6" s="17">
        <f>SUMIF(Global!$C$4:$C$18,'LOT 3'!E6,Global!$F$4:$F$18)</f>
        <v>33653.119999999995</v>
      </c>
      <c r="G6" s="22">
        <f>F6/$F$9</f>
        <v>6.9732323485746216E-3</v>
      </c>
      <c r="I6" s="16" t="s">
        <v>114</v>
      </c>
      <c r="J6" s="148">
        <f>SUMIFS(Tableau1[Emissions_kgCO2],Tableau1[Lot],'LOT 3'!$B$3,Tableau1[Poste],'LOT 3'!I6,Tableau1[Entité],'LOT 3'!$J$4)</f>
        <v>3450</v>
      </c>
      <c r="K6" s="166"/>
    </row>
    <row r="7" spans="2:23" ht="17" thickBot="1" x14ac:dyDescent="0.25">
      <c r="B7" s="138" t="s">
        <v>87</v>
      </c>
      <c r="C7" s="242">
        <f>SUMIF(Global!$H$4:$H$18,'LOT 3'!B7,Global!$F$4:$F$18)</f>
        <v>5110045.4227294996</v>
      </c>
      <c r="E7" s="103" t="s">
        <v>91</v>
      </c>
      <c r="F7" s="17">
        <f>SUMIF(Global!$C$4:$C$18,'LOT 3'!E7,Global!$F$4:$F$18)</f>
        <v>999999</v>
      </c>
      <c r="G7" s="22">
        <f>F7/$F$9</f>
        <v>0.20720888212867852</v>
      </c>
      <c r="I7" s="16" t="s">
        <v>115</v>
      </c>
      <c r="J7" s="148">
        <f>SUMIFS(Tableau1[Emissions_kgCO2],Tableau1[Lot],'LOT 3'!$B$3,Tableau1[Poste],'LOT 3'!I7,Tableau1[Entité],'LOT 3'!$J$4)</f>
        <v>145000</v>
      </c>
      <c r="K7" s="166"/>
    </row>
    <row r="8" spans="2:23" ht="17" thickBot="1" x14ac:dyDescent="0.25">
      <c r="B8" s="167" t="s">
        <v>11</v>
      </c>
      <c r="C8" s="241">
        <f>SUM(C5:C7)</f>
        <v>6140567.7167294994</v>
      </c>
      <c r="E8" s="103" t="s">
        <v>82</v>
      </c>
      <c r="F8" s="17">
        <f>SUMIF(Global!$C$4:$C$18,'LOT 3'!E8,Global!$F$4:$F$18)</f>
        <v>650000</v>
      </c>
      <c r="G8" s="22">
        <f>F8/$F$9</f>
        <v>0.13468590806954911</v>
      </c>
      <c r="I8" s="16" t="s">
        <v>144</v>
      </c>
      <c r="J8" s="148">
        <f>SUMIFS(Tableau1[Emissions_kgCO2],Tableau1[Lot],'LOT 3'!$B$3,Tableau1[Poste],'LOT 3'!I8,Tableau1[Entité],'LOT 3'!$J$4)</f>
        <v>2584023</v>
      </c>
      <c r="K8" s="166"/>
      <c r="M8" s="1"/>
    </row>
    <row r="9" spans="2:23" ht="17" thickBot="1" x14ac:dyDescent="0.25">
      <c r="D9" s="31"/>
      <c r="E9" s="15" t="s">
        <v>11</v>
      </c>
      <c r="F9" s="18">
        <f>SUM(F5:F8)</f>
        <v>4826043.12</v>
      </c>
      <c r="G9" s="32">
        <f>SUM(G5:G8)</f>
        <v>1</v>
      </c>
      <c r="I9" s="15" t="s">
        <v>11</v>
      </c>
      <c r="J9" s="19">
        <f>SUM(J5:J8)</f>
        <v>3132473</v>
      </c>
      <c r="K9" s="36"/>
    </row>
    <row r="11" spans="2:23" ht="17" thickBot="1" x14ac:dyDescent="0.25"/>
    <row r="12" spans="2:23" ht="17" thickBot="1" x14ac:dyDescent="0.25">
      <c r="E12" s="37" t="s">
        <v>44</v>
      </c>
      <c r="F12" s="37"/>
      <c r="G12" s="75">
        <f>(F17)/Global!$E$19</f>
        <v>2.4242455875309946E-3</v>
      </c>
      <c r="I12" s="243" t="s">
        <v>36</v>
      </c>
      <c r="J12" s="245" t="s">
        <v>34</v>
      </c>
    </row>
    <row r="13" spans="2:23" x14ac:dyDescent="0.2">
      <c r="E13" s="186" t="s">
        <v>61</v>
      </c>
      <c r="F13" s="187"/>
      <c r="G13" s="188"/>
      <c r="I13" s="16" t="s">
        <v>149</v>
      </c>
      <c r="J13" s="148">
        <f>SUMIFS(Tableau1[Emissions_kgCO2],Tableau1[Lot],'LOT 3'!$B$3,Tableau1[Poste],'LOT 3'!I13,Tableau1[Entité],'LOT 3'!$J$12)</f>
        <v>1234</v>
      </c>
    </row>
    <row r="14" spans="2:23" x14ac:dyDescent="0.2">
      <c r="E14" s="20" t="s">
        <v>37</v>
      </c>
      <c r="F14" s="23" t="s">
        <v>3</v>
      </c>
      <c r="G14" s="21" t="s">
        <v>8</v>
      </c>
      <c r="I14" s="16" t="s">
        <v>150</v>
      </c>
      <c r="J14" s="148">
        <f>SUMIFS(Tableau1[Emissions_kgCO2],Tableau1[Lot],'LOT 3'!$B$3,Tableau1[Poste],'LOT 3'!I14,Tableau1[Entité],'LOT 3'!$J$12)</f>
        <v>456</v>
      </c>
    </row>
    <row r="15" spans="2:23" x14ac:dyDescent="0.2">
      <c r="E15" s="16" t="s">
        <v>108</v>
      </c>
      <c r="F15" s="24">
        <f>SUMIFS(Tableau1[Emissions_kgCO2],Tableau1[Lot],'LOT 3'!B3,Tableau1[Poste],'LOT 3'!E15)</f>
        <v>5247.0864809999994</v>
      </c>
      <c r="G15" s="17">
        <f>F15/273</f>
        <v>19.220096999999999</v>
      </c>
      <c r="I15" s="16" t="s">
        <v>151</v>
      </c>
      <c r="J15" s="148">
        <f>SUMIFS(Tableau1[Emissions_kgCO2],Tableau1[Lot],'LOT 3'!$B$3,Tableau1[Poste],'LOT 3'!I15,Tableau1[Entité],'LOT 3'!$J$12)</f>
        <v>7415</v>
      </c>
    </row>
    <row r="16" spans="2:23" ht="17" thickBot="1" x14ac:dyDescent="0.25">
      <c r="E16" s="16" t="s">
        <v>109</v>
      </c>
      <c r="F16" s="24">
        <f>SUMIFS(Tableau1[Emissions_kgCO2],Tableau1[Lot],'LOT 3'!B3,Tableau1[Poste],'LOT 3'!E16)</f>
        <v>1214.8915499999998</v>
      </c>
      <c r="G16" s="17">
        <f>F16/27.9</f>
        <v>43.544499999999999</v>
      </c>
      <c r="H16" s="33"/>
      <c r="I16" s="16" t="s">
        <v>115</v>
      </c>
      <c r="J16" s="148">
        <f>SUMIFS(Tableau1[Emissions_kgCO2],Tableau1[Lot],'LOT 3'!$B$3,Tableau1[Poste],'LOT 3'!I16,Tableau1[Entité],'LOT 3'!$J$12)</f>
        <v>789</v>
      </c>
    </row>
    <row r="17" spans="5:10" ht="17" thickBot="1" x14ac:dyDescent="0.25">
      <c r="E17" s="15" t="s">
        <v>11</v>
      </c>
      <c r="F17" s="25">
        <f>SUM(F15:F16)</f>
        <v>6461.9780309999987</v>
      </c>
      <c r="G17" s="19">
        <f>SUM(G15:G16)</f>
        <v>62.764596999999995</v>
      </c>
      <c r="H17" s="33"/>
      <c r="I17" s="244" t="s">
        <v>152</v>
      </c>
      <c r="J17" s="148">
        <f>SUMIFS(Tableau1[Emissions_kgCO2],Tableau1[Lot],'LOT 3'!$B$3,Tableau1[Poste],'LOT 3'!I17,Tableau1[Entité],'LOT 3'!$J$12)</f>
        <v>24</v>
      </c>
    </row>
    <row r="18" spans="5:10" ht="17" thickBot="1" x14ac:dyDescent="0.25">
      <c r="E18" s="5"/>
      <c r="F18" s="35"/>
      <c r="G18" s="36"/>
      <c r="H18" s="33"/>
      <c r="I18" s="15" t="s">
        <v>11</v>
      </c>
      <c r="J18" s="19">
        <f>SUM(J13:J16)</f>
        <v>9894</v>
      </c>
    </row>
    <row r="19" spans="5:10" ht="17" thickBot="1" x14ac:dyDescent="0.25">
      <c r="E19" s="37" t="s">
        <v>44</v>
      </c>
      <c r="F19" s="37"/>
      <c r="G19" s="247">
        <f>(F26)/Global!$F$19</f>
        <v>2.3480219124070189E-3</v>
      </c>
    </row>
    <row r="20" spans="5:10" x14ac:dyDescent="0.2">
      <c r="E20" s="186" t="s">
        <v>145</v>
      </c>
      <c r="F20" s="187"/>
      <c r="G20" s="188"/>
    </row>
    <row r="21" spans="5:10" x14ac:dyDescent="0.2">
      <c r="E21" s="20" t="s">
        <v>37</v>
      </c>
      <c r="F21" s="23" t="s">
        <v>3</v>
      </c>
      <c r="G21" s="21" t="s">
        <v>8</v>
      </c>
    </row>
    <row r="22" spans="5:10" x14ac:dyDescent="0.2">
      <c r="E22" s="16" t="s">
        <v>62</v>
      </c>
      <c r="F22" s="67">
        <f>SUMIFS(Tableau1[Emissions_kgCO2],Tableau1[Lot],$B$3,Tableau1[Poste],E22)</f>
        <v>186.16675350000003</v>
      </c>
      <c r="G22" s="151">
        <f>SUMIFS(Tableau1[Quantité],Tableau1[Lot],$B$3,Tableau1[Poste],E22)</f>
        <v>0.68192950000000008</v>
      </c>
    </row>
    <row r="23" spans="5:10" x14ac:dyDescent="0.2">
      <c r="E23" s="16" t="s">
        <v>63</v>
      </c>
      <c r="F23" s="67">
        <f>SUMIFS(Tableau1[Emissions_kgCO2],Tableau1[Lot],$B$3,Tableau1[Poste],E23)</f>
        <v>8603.0208000000002</v>
      </c>
      <c r="G23" s="151">
        <f>SUMIFS(Tableau1[Quantité],Tableau1[Lot],$B$3,Tableau1[Poste],E23)</f>
        <v>308.35200000000003</v>
      </c>
    </row>
    <row r="24" spans="5:10" x14ac:dyDescent="0.2">
      <c r="E24" s="16" t="s">
        <v>64</v>
      </c>
      <c r="F24" s="67">
        <f>SUMIFS(Tableau1[Emissions_kgCO2],Tableau1[Lot],$B$3,Tableau1[Poste],E24)</f>
        <v>4151</v>
      </c>
      <c r="G24" s="151">
        <f>SUMIFS(Tableau1[Quantité],Tableau1[Lot],$B$3,Tableau1[Poste],E24)</f>
        <v>23</v>
      </c>
    </row>
    <row r="25" spans="5:10" ht="17" thickBot="1" x14ac:dyDescent="0.25">
      <c r="E25" s="28" t="s">
        <v>65</v>
      </c>
      <c r="F25" s="68">
        <f>SUMIFS(Tableau1[Emissions_kgCO2],Tableau1[Lot],$B$3,Tableau1[Poste],E25)</f>
        <v>1478</v>
      </c>
      <c r="G25" s="152">
        <f>SUMIFS(Tableau1[Quantité],Tableau1[Lot],$B$3,Tableau1[Poste],E25)</f>
        <v>690</v>
      </c>
    </row>
    <row r="26" spans="5:10" ht="17" thickBot="1" x14ac:dyDescent="0.25">
      <c r="E26" s="15" t="s">
        <v>11</v>
      </c>
      <c r="F26" s="25">
        <f>SUM(F22:F25)</f>
        <v>14418.1875535</v>
      </c>
      <c r="G26" s="19">
        <f>SUM(G22:G25)</f>
        <v>1022.0339295000001</v>
      </c>
    </row>
    <row r="28" spans="5:10" ht="17" thickBot="1" x14ac:dyDescent="0.25">
      <c r="E28" s="37" t="s">
        <v>43</v>
      </c>
      <c r="F28" s="37"/>
      <c r="G28" s="75">
        <f>(SUM(F31:F32))/Global!$E$19</f>
        <v>0.34137571630297792</v>
      </c>
      <c r="I28" s="38"/>
    </row>
    <row r="29" spans="5:10" ht="17" thickBot="1" x14ac:dyDescent="0.25">
      <c r="E29" s="182" t="s">
        <v>67</v>
      </c>
      <c r="F29" s="183"/>
      <c r="G29" s="184"/>
    </row>
    <row r="30" spans="5:10" x14ac:dyDescent="0.2">
      <c r="E30" s="70" t="s">
        <v>37</v>
      </c>
      <c r="F30" s="149" t="s">
        <v>3</v>
      </c>
      <c r="G30" s="150" t="s">
        <v>42</v>
      </c>
    </row>
    <row r="31" spans="5:10" x14ac:dyDescent="0.2">
      <c r="E31" s="16" t="s">
        <v>40</v>
      </c>
      <c r="F31" s="67">
        <f>SUMIFS(Tableau1[Emissions_kgCO2],Tableau1[Lot],'LOT 3'!B3,Tableau1[Entité],"AEP",Tableau1[Catégorie],"Energie")</f>
        <v>889998</v>
      </c>
      <c r="G31" s="151">
        <f>SUMIFS(Tableau1[Quantité],Tableau1[Lot],'LOT 3'!B3,Tableau1[Entité],"AEP",Tableau1[Catégorie],"Energie")</f>
        <v>1456896</v>
      </c>
    </row>
    <row r="32" spans="5:10" ht="17" thickBot="1" x14ac:dyDescent="0.25">
      <c r="E32" s="28" t="s">
        <v>41</v>
      </c>
      <c r="F32" s="68">
        <f>SUMIFS(Tableau1[Emissions_kgCO2],Tableau1[Lot],'LOT 3'!B3,Tableau1[Entité],"EU",Tableau1[Catégorie],"Energie")</f>
        <v>19960.293999999998</v>
      </c>
      <c r="G32" s="152">
        <f>SUMIFS(Tableau1[Quantité],Tableau1[Lot],'LOT 3'!B3,Tableau1[Entité],"EU",Tableau1[Catégorie],"Energie")</f>
        <v>344143</v>
      </c>
    </row>
    <row r="33" spans="5:8" x14ac:dyDescent="0.2">
      <c r="E33" s="156" t="s">
        <v>71</v>
      </c>
      <c r="F33" s="157">
        <v>0.23</v>
      </c>
      <c r="H33" s="33"/>
    </row>
    <row r="34" spans="5:8" x14ac:dyDescent="0.2">
      <c r="E34" s="158" t="s">
        <v>73</v>
      </c>
      <c r="F34" s="159">
        <v>0.69</v>
      </c>
    </row>
    <row r="35" spans="5:8" ht="17" thickBot="1" x14ac:dyDescent="0.25">
      <c r="E35" s="160" t="s">
        <v>72</v>
      </c>
      <c r="F35" s="161">
        <v>0.09</v>
      </c>
    </row>
    <row r="38" spans="5:8" ht="17" thickBot="1" x14ac:dyDescent="0.25"/>
    <row r="39" spans="5:8" ht="17" thickBot="1" x14ac:dyDescent="0.25">
      <c r="E39" s="179" t="s">
        <v>39</v>
      </c>
      <c r="F39" s="180"/>
      <c r="G39" s="181"/>
      <c r="H39" s="164">
        <f>SUM(H40:H46)</f>
        <v>6.2483821503942848E-2</v>
      </c>
    </row>
    <row r="40" spans="5:8" x14ac:dyDescent="0.2">
      <c r="E40" s="155" t="s">
        <v>50</v>
      </c>
      <c r="F40" s="162">
        <f>SUMIF(Global!$C$4:$C$18,'LOT 3'!E40,Global!$F$4:$F$18)</f>
        <v>150421</v>
      </c>
      <c r="G40" s="163" t="s">
        <v>146</v>
      </c>
      <c r="H40" s="153">
        <f>F40/Global!$F$19</f>
        <v>2.449626922771158E-2</v>
      </c>
    </row>
    <row r="41" spans="5:8" x14ac:dyDescent="0.2">
      <c r="E41" s="16" t="s">
        <v>59</v>
      </c>
      <c r="F41" s="26">
        <f>SUMIF(Global!$C$4:$C$18,'LOT 3'!E41,Global!$F$4:$F$18)</f>
        <v>0</v>
      </c>
      <c r="G41" s="27" t="s">
        <v>146</v>
      </c>
      <c r="H41" s="153">
        <f>F41/Global!$F$19</f>
        <v>0</v>
      </c>
    </row>
    <row r="42" spans="5:8" x14ac:dyDescent="0.2">
      <c r="E42" s="16" t="s">
        <v>94</v>
      </c>
      <c r="F42" s="26">
        <f>SUMIF(Global!$C$4:$C$18,'LOT 3'!E42,Global!$F$4:$F$18)</f>
        <v>101187.620352</v>
      </c>
      <c r="G42" s="27" t="s">
        <v>146</v>
      </c>
      <c r="H42" s="153">
        <f>F42/Global!$F$19</f>
        <v>1.6478544821893617E-2</v>
      </c>
    </row>
    <row r="43" spans="5:8" x14ac:dyDescent="0.2">
      <c r="E43" s="16" t="s">
        <v>140</v>
      </c>
      <c r="F43" s="26">
        <f>SUMIF(Global!$C$4:$C$18,'LOT 3'!E43,Global!$F$4:$F$18)</f>
        <v>9865</v>
      </c>
      <c r="G43" s="27" t="s">
        <v>146</v>
      </c>
      <c r="H43" s="153">
        <f>F43/Global!$F$19</f>
        <v>1.6065289815343253E-3</v>
      </c>
    </row>
    <row r="44" spans="5:8" x14ac:dyDescent="0.2">
      <c r="E44" s="16" t="s">
        <v>47</v>
      </c>
      <c r="F44" s="26">
        <f>SUMIF(Global!$C$4:$C$18,'LOT 3'!E44,Global!$F$4:$F$18)</f>
        <v>120564</v>
      </c>
      <c r="G44" s="27" t="s">
        <v>146</v>
      </c>
      <c r="H44" s="153">
        <f>F44/Global!$F$19</f>
        <v>1.9634015218419096E-2</v>
      </c>
    </row>
    <row r="45" spans="5:8" x14ac:dyDescent="0.2">
      <c r="E45" s="16" t="s">
        <v>51</v>
      </c>
      <c r="F45" s="26">
        <f>SUMIF(Global!$C$4:$C$18,'LOT 3'!E45,Global!$F$4:$F$18)</f>
        <v>1584.674</v>
      </c>
      <c r="G45" s="27" t="s">
        <v>146</v>
      </c>
      <c r="H45" s="153">
        <f>F45/Global!$F$19</f>
        <v>2.5806636667855302E-4</v>
      </c>
    </row>
    <row r="46" spans="5:8" ht="17" thickBot="1" x14ac:dyDescent="0.25">
      <c r="E46" s="28" t="s">
        <v>95</v>
      </c>
      <c r="F46" s="29">
        <f>SUMIF(Global!$C$4:$C$18,'LOT 3'!E46,Global!$F$4:$F$18)</f>
        <v>63.842793</v>
      </c>
      <c r="G46" s="30" t="s">
        <v>146</v>
      </c>
      <c r="H46" s="154">
        <f>F46/Global!$F$19</f>
        <v>1.0396887705686442E-5</v>
      </c>
    </row>
  </sheetData>
  <mergeCells count="6">
    <mergeCell ref="E39:G39"/>
    <mergeCell ref="E1:M1"/>
    <mergeCell ref="E4:G4"/>
    <mergeCell ref="E13:G13"/>
    <mergeCell ref="E20:G20"/>
    <mergeCell ref="E29:G2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D8141-6AE2-4E93-A067-F9549E9BB98B}">
  <sheetPr codeName="Feuil5"/>
  <dimension ref="A1:D31"/>
  <sheetViews>
    <sheetView showGridLines="0" zoomScale="114" zoomScaleNormal="175" workbookViewId="0">
      <selection activeCell="E1" sqref="E1"/>
    </sheetView>
  </sheetViews>
  <sheetFormatPr baseColWidth="10" defaultRowHeight="16" x14ac:dyDescent="0.2"/>
  <cols>
    <col min="1" max="1" width="34.28515625" bestFit="1" customWidth="1"/>
    <col min="5" max="5" width="21.28515625" bestFit="1" customWidth="1"/>
  </cols>
  <sheetData>
    <row r="1" spans="1:4" x14ac:dyDescent="0.2">
      <c r="A1" s="53" t="s">
        <v>48</v>
      </c>
      <c r="B1" s="56" t="s">
        <v>57</v>
      </c>
      <c r="C1" s="57" t="s">
        <v>58</v>
      </c>
      <c r="D1" s="54" t="s">
        <v>52</v>
      </c>
    </row>
    <row r="2" spans="1:4" x14ac:dyDescent="0.2">
      <c r="A2" t="s">
        <v>83</v>
      </c>
      <c r="B2" s="58">
        <v>749.14400000000001</v>
      </c>
      <c r="C2" s="59">
        <v>343.39699999999999</v>
      </c>
      <c r="D2" s="49">
        <f t="shared" ref="D2:D13" si="0">SUM(B2:C2)</f>
        <v>1092.5409999999999</v>
      </c>
    </row>
    <row r="3" spans="1:4" x14ac:dyDescent="0.2">
      <c r="A3" t="s">
        <v>74</v>
      </c>
      <c r="B3" s="58">
        <f>359.271+235.594</f>
        <v>594.86500000000001</v>
      </c>
      <c r="C3" s="59">
        <f>221.023</f>
        <v>221.023</v>
      </c>
      <c r="D3" s="49">
        <f t="shared" si="0"/>
        <v>815.88800000000003</v>
      </c>
    </row>
    <row r="4" spans="1:4" x14ac:dyDescent="0.2">
      <c r="A4" t="s">
        <v>82</v>
      </c>
      <c r="B4" s="58">
        <v>95.417000000000002</v>
      </c>
      <c r="C4" s="59">
        <v>128.524</v>
      </c>
      <c r="D4" s="49">
        <f t="shared" si="0"/>
        <v>223.941</v>
      </c>
    </row>
    <row r="5" spans="1:4" x14ac:dyDescent="0.2">
      <c r="A5" s="34" t="s">
        <v>84</v>
      </c>
      <c r="B5" s="60">
        <f>1078</f>
        <v>1078</v>
      </c>
      <c r="C5" s="61">
        <v>300.488</v>
      </c>
      <c r="D5" s="71">
        <f t="shared" si="0"/>
        <v>1378.4880000000001</v>
      </c>
    </row>
    <row r="6" spans="1:4" x14ac:dyDescent="0.2">
      <c r="A6" s="34" t="s">
        <v>66</v>
      </c>
      <c r="B6" s="60">
        <v>286</v>
      </c>
      <c r="C6" s="61">
        <v>58</v>
      </c>
      <c r="D6" s="71">
        <f t="shared" si="0"/>
        <v>344</v>
      </c>
    </row>
    <row r="7" spans="1:4" x14ac:dyDescent="0.2">
      <c r="A7" t="s">
        <v>46</v>
      </c>
      <c r="B7" s="58">
        <v>230.72300000000001</v>
      </c>
      <c r="C7" s="59">
        <v>77.165000000000006</v>
      </c>
      <c r="D7" s="49">
        <f t="shared" si="0"/>
        <v>307.88800000000003</v>
      </c>
    </row>
    <row r="8" spans="1:4" x14ac:dyDescent="0.2">
      <c r="A8" t="s">
        <v>50</v>
      </c>
      <c r="B8" s="58">
        <f>53+5.185</f>
        <v>58.185000000000002</v>
      </c>
      <c r="C8" s="59">
        <v>68</v>
      </c>
      <c r="D8" s="49">
        <f t="shared" si="0"/>
        <v>126.185</v>
      </c>
    </row>
    <row r="9" spans="1:4" x14ac:dyDescent="0.2">
      <c r="A9" t="s">
        <v>59</v>
      </c>
      <c r="B9" s="58">
        <v>106.407</v>
      </c>
      <c r="C9" s="59">
        <v>0</v>
      </c>
      <c r="D9" s="49">
        <f t="shared" si="0"/>
        <v>106.407</v>
      </c>
    </row>
    <row r="10" spans="1:4" x14ac:dyDescent="0.2">
      <c r="A10" s="34" t="s">
        <v>53</v>
      </c>
      <c r="B10" s="76">
        <f>63.665+3534.94213</f>
        <v>3598.6071299999999</v>
      </c>
      <c r="C10" s="77">
        <f>29.397+2374.9208</f>
        <v>2404.3177999999998</v>
      </c>
      <c r="D10" s="71">
        <f t="shared" si="0"/>
        <v>6002.9249299999992</v>
      </c>
    </row>
    <row r="11" spans="1:4" x14ac:dyDescent="0.2">
      <c r="A11" s="34" t="s">
        <v>47</v>
      </c>
      <c r="B11" s="60">
        <v>31.867999999999999</v>
      </c>
      <c r="C11" s="61">
        <v>39.402999999999999</v>
      </c>
      <c r="D11" s="71">
        <f t="shared" si="0"/>
        <v>71.271000000000001</v>
      </c>
    </row>
    <row r="12" spans="1:4" x14ac:dyDescent="0.2">
      <c r="A12" s="34" t="s">
        <v>51</v>
      </c>
      <c r="B12" s="60">
        <v>1.381</v>
      </c>
      <c r="C12" s="61">
        <v>10.276999999999999</v>
      </c>
      <c r="D12" s="71">
        <f t="shared" si="0"/>
        <v>11.657999999999999</v>
      </c>
    </row>
    <row r="13" spans="1:4" ht="17" thickBot="1" x14ac:dyDescent="0.25">
      <c r="A13" t="s">
        <v>49</v>
      </c>
      <c r="B13" s="72">
        <v>8.91</v>
      </c>
      <c r="C13" s="69">
        <v>1.0720000000000001</v>
      </c>
      <c r="D13" s="73">
        <f t="shared" si="0"/>
        <v>9.9819999999999993</v>
      </c>
    </row>
    <row r="14" spans="1:4" ht="17" thickBot="1" x14ac:dyDescent="0.25">
      <c r="A14" s="15" t="s">
        <v>11</v>
      </c>
      <c r="B14" s="50">
        <f>SUM(B2:B13)</f>
        <v>6839.5071300000009</v>
      </c>
      <c r="C14" s="51">
        <f>SUM(C2:C13)</f>
        <v>3651.6667999999995</v>
      </c>
      <c r="D14" s="52">
        <f>SUM(D2:D13)</f>
        <v>10491.173930000001</v>
      </c>
    </row>
    <row r="16" spans="1:4" ht="17" thickBot="1" x14ac:dyDescent="0.25"/>
    <row r="17" spans="1:4" ht="17" thickBot="1" x14ac:dyDescent="0.25">
      <c r="A17" s="174" t="s">
        <v>60</v>
      </c>
      <c r="B17" s="175"/>
      <c r="C17" s="175"/>
      <c r="D17" s="176"/>
    </row>
    <row r="18" spans="1:4" x14ac:dyDescent="0.2">
      <c r="A18" s="65" t="s">
        <v>48</v>
      </c>
      <c r="B18" s="63" t="s">
        <v>57</v>
      </c>
      <c r="C18" s="64" t="s">
        <v>58</v>
      </c>
      <c r="D18" s="62" t="s">
        <v>52</v>
      </c>
    </row>
    <row r="19" spans="1:4" x14ac:dyDescent="0.2">
      <c r="A19" s="34" t="s">
        <v>45</v>
      </c>
      <c r="B19" s="76">
        <f>63.665+3534.94213</f>
        <v>3598.6071299999999</v>
      </c>
      <c r="C19" s="77">
        <f>29.397+2374.9208</f>
        <v>2404.3177999999998</v>
      </c>
      <c r="D19" s="71">
        <f t="shared" ref="D19:D30" si="1">SUM(B19:C19)</f>
        <v>6002.9249299999992</v>
      </c>
    </row>
    <row r="20" spans="1:4" x14ac:dyDescent="0.2">
      <c r="A20" s="34" t="s">
        <v>84</v>
      </c>
      <c r="B20" s="60">
        <f>1078</f>
        <v>1078</v>
      </c>
      <c r="C20" s="61">
        <v>300.488</v>
      </c>
      <c r="D20" s="71">
        <f t="shared" si="1"/>
        <v>1378.4880000000001</v>
      </c>
    </row>
    <row r="21" spans="1:4" x14ac:dyDescent="0.2">
      <c r="A21" t="s">
        <v>83</v>
      </c>
      <c r="B21" s="58">
        <v>749.14400000000001</v>
      </c>
      <c r="C21" s="59">
        <v>343.39699999999999</v>
      </c>
      <c r="D21" s="49">
        <f t="shared" si="1"/>
        <v>1092.5409999999999</v>
      </c>
    </row>
    <row r="22" spans="1:4" x14ac:dyDescent="0.2">
      <c r="A22" t="s">
        <v>74</v>
      </c>
      <c r="B22" s="58">
        <f>359.271+235.594</f>
        <v>594.86500000000001</v>
      </c>
      <c r="C22" s="59">
        <f>221.023</f>
        <v>221.023</v>
      </c>
      <c r="D22" s="49">
        <f t="shared" si="1"/>
        <v>815.88800000000003</v>
      </c>
    </row>
    <row r="23" spans="1:4" x14ac:dyDescent="0.2">
      <c r="A23" s="34" t="s">
        <v>66</v>
      </c>
      <c r="B23" s="60">
        <v>286</v>
      </c>
      <c r="C23" s="61">
        <v>58</v>
      </c>
      <c r="D23" s="71">
        <f t="shared" si="1"/>
        <v>344</v>
      </c>
    </row>
    <row r="24" spans="1:4" x14ac:dyDescent="0.2">
      <c r="A24" t="s">
        <v>46</v>
      </c>
      <c r="B24" s="58">
        <v>230.72300000000001</v>
      </c>
      <c r="C24" s="59">
        <v>77.165000000000006</v>
      </c>
      <c r="D24" s="49">
        <f t="shared" si="1"/>
        <v>307.88800000000003</v>
      </c>
    </row>
    <row r="25" spans="1:4" x14ac:dyDescent="0.2">
      <c r="A25" t="s">
        <v>82</v>
      </c>
      <c r="B25" s="58">
        <v>95.417000000000002</v>
      </c>
      <c r="C25" s="59">
        <v>128.524</v>
      </c>
      <c r="D25" s="49">
        <f t="shared" si="1"/>
        <v>223.941</v>
      </c>
    </row>
    <row r="26" spans="1:4" x14ac:dyDescent="0.2">
      <c r="A26" t="s">
        <v>50</v>
      </c>
      <c r="B26" s="58">
        <f>53+5.185</f>
        <v>58.185000000000002</v>
      </c>
      <c r="C26" s="59">
        <v>68</v>
      </c>
      <c r="D26" s="49">
        <f t="shared" si="1"/>
        <v>126.185</v>
      </c>
    </row>
    <row r="27" spans="1:4" x14ac:dyDescent="0.2">
      <c r="A27" t="s">
        <v>59</v>
      </c>
      <c r="B27" s="58">
        <v>106.407</v>
      </c>
      <c r="C27" s="59">
        <v>0</v>
      </c>
      <c r="D27" s="49">
        <f t="shared" si="1"/>
        <v>106.407</v>
      </c>
    </row>
    <row r="28" spans="1:4" x14ac:dyDescent="0.2">
      <c r="A28" s="34" t="s">
        <v>47</v>
      </c>
      <c r="B28" s="60">
        <v>31.867999999999999</v>
      </c>
      <c r="C28" s="61">
        <v>39.402999999999999</v>
      </c>
      <c r="D28" s="71">
        <f t="shared" si="1"/>
        <v>71.271000000000001</v>
      </c>
    </row>
    <row r="29" spans="1:4" x14ac:dyDescent="0.2">
      <c r="A29" s="34" t="s">
        <v>51</v>
      </c>
      <c r="B29" s="60">
        <v>1.381</v>
      </c>
      <c r="C29" s="61">
        <v>10.276999999999999</v>
      </c>
      <c r="D29" s="71">
        <f t="shared" si="1"/>
        <v>11.657999999999999</v>
      </c>
    </row>
    <row r="30" spans="1:4" ht="17" thickBot="1" x14ac:dyDescent="0.25">
      <c r="A30" t="s">
        <v>49</v>
      </c>
      <c r="B30" s="72">
        <v>8.91</v>
      </c>
      <c r="C30" s="69">
        <v>1.0720000000000001</v>
      </c>
      <c r="D30" s="73">
        <f t="shared" si="1"/>
        <v>9.9819999999999993</v>
      </c>
    </row>
    <row r="31" spans="1:4" ht="17" thickBot="1" x14ac:dyDescent="0.25">
      <c r="A31" s="15" t="s">
        <v>11</v>
      </c>
      <c r="B31" s="50">
        <f>SUM(B19:B30)</f>
        <v>6839.5071300000018</v>
      </c>
      <c r="C31" s="51">
        <f>SUM(C19:C30)</f>
        <v>3651.6667999999995</v>
      </c>
      <c r="D31" s="52">
        <f>SUM(D19:D30)</f>
        <v>10491.173930000001</v>
      </c>
    </row>
  </sheetData>
  <sortState xmlns:xlrd2="http://schemas.microsoft.com/office/spreadsheetml/2017/richdata2" ref="A19:D30">
    <sortCondition descending="1" ref="D19:D30"/>
  </sortState>
  <mergeCells count="1">
    <mergeCell ref="A17:D17"/>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7D8F9-694E-D447-8F3F-069AF02D1856}">
  <sheetPr>
    <tabColor theme="3" tint="0.39997558519241921"/>
  </sheetPr>
  <dimension ref="A1:J20"/>
  <sheetViews>
    <sheetView showGridLines="0" zoomScale="75" zoomScaleNormal="100" workbookViewId="0">
      <pane xSplit="1" topLeftCell="B1" activePane="topRight" state="frozen"/>
      <selection pane="topRight" activeCell="B7" sqref="B7"/>
    </sheetView>
  </sheetViews>
  <sheetFormatPr baseColWidth="10" defaultRowHeight="16" x14ac:dyDescent="0.2"/>
  <cols>
    <col min="1" max="1" width="29" bestFit="1" customWidth="1"/>
    <col min="2" max="2" width="112.7109375" customWidth="1"/>
    <col min="3" max="3" width="82.42578125" customWidth="1"/>
    <col min="5" max="5" width="16.28515625" bestFit="1" customWidth="1"/>
    <col min="6" max="6" width="14.42578125" bestFit="1" customWidth="1"/>
    <col min="7" max="8" width="15.85546875" bestFit="1" customWidth="1"/>
    <col min="9" max="9" width="12.7109375" bestFit="1" customWidth="1"/>
  </cols>
  <sheetData>
    <row r="1" spans="1:10" ht="22" customHeight="1" x14ac:dyDescent="0.2">
      <c r="A1" s="191" t="s">
        <v>156</v>
      </c>
      <c r="B1" s="191" t="s">
        <v>157</v>
      </c>
      <c r="C1" s="191" t="s">
        <v>158</v>
      </c>
      <c r="D1" s="191" t="s">
        <v>159</v>
      </c>
      <c r="E1" t="s">
        <v>160</v>
      </c>
      <c r="F1" t="s">
        <v>161</v>
      </c>
      <c r="G1" t="s">
        <v>162</v>
      </c>
      <c r="H1" t="s">
        <v>163</v>
      </c>
      <c r="I1" t="s">
        <v>164</v>
      </c>
    </row>
    <row r="2" spans="1:10" ht="119" x14ac:dyDescent="0.2">
      <c r="A2" s="192" t="s">
        <v>83</v>
      </c>
      <c r="B2" s="193" t="s">
        <v>165</v>
      </c>
      <c r="C2" s="194"/>
      <c r="D2" s="195" t="s">
        <v>166</v>
      </c>
      <c r="E2" s="195" t="s">
        <v>167</v>
      </c>
      <c r="F2" s="195"/>
      <c r="G2" s="195"/>
      <c r="H2" s="195" t="s">
        <v>34</v>
      </c>
      <c r="I2" s="195" t="s">
        <v>168</v>
      </c>
      <c r="J2" s="195"/>
    </row>
    <row r="3" spans="1:10" ht="120" customHeight="1" x14ac:dyDescent="0.2">
      <c r="A3" s="192" t="s">
        <v>83</v>
      </c>
      <c r="B3" s="193" t="s">
        <v>169</v>
      </c>
      <c r="C3" s="194"/>
      <c r="D3" s="195" t="s">
        <v>166</v>
      </c>
      <c r="E3" s="195" t="s">
        <v>167</v>
      </c>
      <c r="F3" s="195"/>
      <c r="G3" s="195"/>
      <c r="H3" s="195" t="s">
        <v>33</v>
      </c>
      <c r="I3" s="195" t="s">
        <v>168</v>
      </c>
      <c r="J3" s="195"/>
    </row>
    <row r="4" spans="1:10" ht="204" x14ac:dyDescent="0.2">
      <c r="A4" s="192" t="s">
        <v>90</v>
      </c>
      <c r="B4" s="193" t="s">
        <v>170</v>
      </c>
      <c r="C4" s="194"/>
      <c r="D4" s="195" t="s">
        <v>171</v>
      </c>
      <c r="E4" s="195" t="s">
        <v>172</v>
      </c>
      <c r="F4" s="195"/>
      <c r="G4" s="195"/>
      <c r="H4" s="195" t="s">
        <v>173</v>
      </c>
      <c r="I4" s="195" t="s">
        <v>168</v>
      </c>
      <c r="J4" s="195"/>
    </row>
    <row r="5" spans="1:10" ht="136" x14ac:dyDescent="0.2">
      <c r="A5" s="192" t="s">
        <v>91</v>
      </c>
      <c r="B5" s="193" t="s">
        <v>174</v>
      </c>
      <c r="C5" s="194"/>
      <c r="D5" s="195" t="s">
        <v>175</v>
      </c>
      <c r="E5" s="195"/>
      <c r="F5" s="195"/>
      <c r="G5" s="195"/>
      <c r="H5" s="195" t="s">
        <v>173</v>
      </c>
      <c r="I5" s="195" t="s">
        <v>168</v>
      </c>
      <c r="J5" s="195"/>
    </row>
    <row r="6" spans="1:10" ht="102" x14ac:dyDescent="0.2">
      <c r="A6" s="192" t="s">
        <v>176</v>
      </c>
      <c r="B6" s="193" t="s">
        <v>177</v>
      </c>
      <c r="C6" s="194"/>
      <c r="D6" s="195" t="s">
        <v>178</v>
      </c>
      <c r="E6" s="195"/>
      <c r="F6" s="195"/>
      <c r="G6" s="195"/>
      <c r="H6" s="195" t="s">
        <v>173</v>
      </c>
      <c r="I6" s="195" t="s">
        <v>168</v>
      </c>
      <c r="J6" s="195"/>
    </row>
    <row r="7" spans="1:10" ht="238" x14ac:dyDescent="0.2">
      <c r="A7" s="192" t="s">
        <v>84</v>
      </c>
      <c r="B7" s="193" t="s">
        <v>179</v>
      </c>
      <c r="C7" s="194"/>
      <c r="D7" s="195" t="s">
        <v>180</v>
      </c>
      <c r="E7" s="195" t="s">
        <v>181</v>
      </c>
      <c r="F7" s="195"/>
      <c r="G7" s="195" t="s">
        <v>182</v>
      </c>
      <c r="H7" s="195" t="s">
        <v>173</v>
      </c>
      <c r="I7" s="195" t="s">
        <v>168</v>
      </c>
      <c r="J7" s="195"/>
    </row>
    <row r="8" spans="1:10" ht="153" x14ac:dyDescent="0.2">
      <c r="A8" s="192" t="s">
        <v>66</v>
      </c>
      <c r="B8" s="193" t="s">
        <v>183</v>
      </c>
      <c r="C8" s="194"/>
      <c r="D8" s="195" t="s">
        <v>184</v>
      </c>
      <c r="E8" s="195" t="s">
        <v>185</v>
      </c>
      <c r="F8" s="195"/>
      <c r="G8" s="195"/>
      <c r="H8" s="195" t="s">
        <v>173</v>
      </c>
      <c r="I8" s="195" t="s">
        <v>168</v>
      </c>
      <c r="J8" s="195"/>
    </row>
    <row r="9" spans="1:10" ht="119" x14ac:dyDescent="0.2">
      <c r="A9" s="192" t="s">
        <v>46</v>
      </c>
      <c r="B9" s="193" t="s">
        <v>186</v>
      </c>
      <c r="C9" s="194"/>
      <c r="D9" s="195" t="s">
        <v>187</v>
      </c>
      <c r="E9" s="195"/>
      <c r="F9" s="195"/>
      <c r="G9" s="195"/>
      <c r="H9" s="195" t="s">
        <v>173</v>
      </c>
      <c r="I9" s="195" t="s">
        <v>168</v>
      </c>
      <c r="J9" s="195"/>
    </row>
    <row r="10" spans="1:10" ht="119" x14ac:dyDescent="0.2">
      <c r="A10" s="192" t="s">
        <v>50</v>
      </c>
      <c r="B10" s="193" t="s">
        <v>188</v>
      </c>
      <c r="C10" s="194"/>
      <c r="D10" s="195" t="s">
        <v>189</v>
      </c>
      <c r="E10" s="195"/>
      <c r="F10" s="195"/>
      <c r="G10" s="195"/>
      <c r="H10" s="195" t="s">
        <v>173</v>
      </c>
      <c r="I10" s="195" t="s">
        <v>168</v>
      </c>
      <c r="J10" s="195"/>
    </row>
    <row r="11" spans="1:10" ht="119" x14ac:dyDescent="0.2">
      <c r="A11" s="192" t="s">
        <v>59</v>
      </c>
      <c r="B11" s="193" t="s">
        <v>190</v>
      </c>
      <c r="C11" s="194"/>
      <c r="D11" s="195" t="s">
        <v>191</v>
      </c>
      <c r="E11" s="195"/>
      <c r="F11" s="195" t="s">
        <v>192</v>
      </c>
      <c r="G11" s="195"/>
      <c r="H11" s="195" t="s">
        <v>173</v>
      </c>
      <c r="I11" s="195" t="s">
        <v>168</v>
      </c>
      <c r="J11" s="195"/>
    </row>
    <row r="12" spans="1:10" ht="119" x14ac:dyDescent="0.2">
      <c r="A12" s="192" t="s">
        <v>53</v>
      </c>
      <c r="B12" s="193" t="s">
        <v>193</v>
      </c>
      <c r="C12" s="194"/>
      <c r="D12" s="195" t="s">
        <v>194</v>
      </c>
      <c r="E12" s="195"/>
      <c r="F12" s="195"/>
      <c r="G12" s="195"/>
      <c r="H12" s="195" t="s">
        <v>173</v>
      </c>
      <c r="I12" s="195" t="s">
        <v>168</v>
      </c>
      <c r="J12" s="195"/>
    </row>
    <row r="13" spans="1:10" ht="119" x14ac:dyDescent="0.2">
      <c r="A13" s="192" t="s">
        <v>47</v>
      </c>
      <c r="B13" s="193" t="s">
        <v>195</v>
      </c>
      <c r="C13" s="194"/>
      <c r="D13" s="195" t="s">
        <v>196</v>
      </c>
      <c r="E13" s="195"/>
      <c r="F13" s="195"/>
      <c r="G13" s="195"/>
      <c r="H13" s="195" t="s">
        <v>173</v>
      </c>
      <c r="I13" s="195" t="s">
        <v>168</v>
      </c>
      <c r="J13" s="195"/>
    </row>
    <row r="14" spans="1:10" ht="102" x14ac:dyDescent="0.2">
      <c r="A14" s="192" t="s">
        <v>51</v>
      </c>
      <c r="B14" s="193" t="s">
        <v>197</v>
      </c>
      <c r="C14" s="194"/>
      <c r="D14" s="195" t="s">
        <v>198</v>
      </c>
      <c r="E14" s="195"/>
      <c r="F14" s="195"/>
      <c r="G14" s="195"/>
      <c r="H14" s="195" t="s">
        <v>173</v>
      </c>
      <c r="I14" s="195" t="s">
        <v>168</v>
      </c>
      <c r="J14" s="195"/>
    </row>
    <row r="15" spans="1:10" ht="119" x14ac:dyDescent="0.2">
      <c r="A15" s="192" t="s">
        <v>199</v>
      </c>
      <c r="B15" s="193" t="s">
        <v>200</v>
      </c>
      <c r="C15" s="194"/>
      <c r="D15" s="195" t="s">
        <v>201</v>
      </c>
      <c r="E15" s="195"/>
      <c r="F15" s="195"/>
      <c r="G15" s="195"/>
      <c r="H15" s="195" t="s">
        <v>173</v>
      </c>
      <c r="I15" s="195" t="s">
        <v>168</v>
      </c>
      <c r="J15" s="195"/>
    </row>
    <row r="16" spans="1:10" ht="119" x14ac:dyDescent="0.2">
      <c r="A16" s="192" t="s">
        <v>95</v>
      </c>
      <c r="B16" s="193" t="s">
        <v>202</v>
      </c>
      <c r="C16" s="194"/>
      <c r="D16" s="195" t="s">
        <v>201</v>
      </c>
      <c r="E16" s="195"/>
      <c r="F16" s="195"/>
      <c r="G16" s="195"/>
      <c r="H16" s="195" t="s">
        <v>173</v>
      </c>
      <c r="I16" s="195" t="s">
        <v>168</v>
      </c>
      <c r="J16" s="195"/>
    </row>
    <row r="17" spans="1:10" ht="187" x14ac:dyDescent="0.2">
      <c r="A17" s="192" t="s">
        <v>203</v>
      </c>
      <c r="B17" s="196" t="s">
        <v>204</v>
      </c>
      <c r="C17" s="194"/>
      <c r="D17" s="195" t="s">
        <v>205</v>
      </c>
      <c r="E17" s="195"/>
      <c r="F17" s="195"/>
      <c r="G17" s="195"/>
      <c r="H17" s="195" t="s">
        <v>173</v>
      </c>
      <c r="I17" s="195" t="s">
        <v>168</v>
      </c>
      <c r="J17" s="195"/>
    </row>
    <row r="18" spans="1:10" ht="35" customHeight="1" x14ac:dyDescent="0.2">
      <c r="A18" s="192" t="s">
        <v>206</v>
      </c>
      <c r="B18" s="193"/>
      <c r="C18" s="194"/>
      <c r="D18" s="195"/>
      <c r="E18" s="195"/>
      <c r="F18" s="195"/>
      <c r="G18" s="195"/>
      <c r="H18" s="195"/>
      <c r="I18" s="195"/>
    </row>
    <row r="19" spans="1:10" ht="36" customHeight="1" x14ac:dyDescent="0.2"/>
    <row r="20" spans="1:10" ht="160" customHeight="1" x14ac:dyDescent="0.2"/>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F5130-BB1A-9847-B3FA-5E25CB3A3E60}">
  <sheetPr>
    <tabColor theme="3" tint="0.39997558519241921"/>
  </sheetPr>
  <dimension ref="A1:D31"/>
  <sheetViews>
    <sheetView showGridLines="0" workbookViewId="0">
      <selection activeCell="E2" sqref="E2"/>
    </sheetView>
  </sheetViews>
  <sheetFormatPr baseColWidth="10" defaultRowHeight="16" x14ac:dyDescent="0.2"/>
  <cols>
    <col min="1" max="1" width="38.28515625" customWidth="1"/>
    <col min="3" max="3" width="44.28515625" customWidth="1"/>
    <col min="4" max="4" width="12.7109375" customWidth="1"/>
  </cols>
  <sheetData>
    <row r="1" spans="1:4" ht="26" x14ac:dyDescent="0.2">
      <c r="A1" s="198" t="s">
        <v>207</v>
      </c>
      <c r="B1" s="198" t="s">
        <v>208</v>
      </c>
      <c r="C1" s="198" t="s">
        <v>209</v>
      </c>
      <c r="D1" s="199" t="s">
        <v>210</v>
      </c>
    </row>
    <row r="2" spans="1:4" x14ac:dyDescent="0.2">
      <c r="A2" s="200" t="s">
        <v>211</v>
      </c>
      <c r="B2" s="201" t="s">
        <v>212</v>
      </c>
      <c r="C2" s="202" t="s">
        <v>213</v>
      </c>
      <c r="D2" s="203"/>
    </row>
    <row r="3" spans="1:4" x14ac:dyDescent="0.2">
      <c r="A3" s="200"/>
      <c r="B3" s="201" t="s">
        <v>214</v>
      </c>
      <c r="C3" s="202" t="s">
        <v>215</v>
      </c>
      <c r="D3" s="203"/>
    </row>
    <row r="4" spans="1:4" x14ac:dyDescent="0.2">
      <c r="A4" s="200"/>
      <c r="B4" s="201" t="s">
        <v>216</v>
      </c>
      <c r="C4" s="202" t="s">
        <v>217</v>
      </c>
      <c r="D4" s="203"/>
    </row>
    <row r="5" spans="1:4" x14ac:dyDescent="0.2">
      <c r="A5" s="200"/>
      <c r="B5" s="201" t="s">
        <v>218</v>
      </c>
      <c r="C5" s="202" t="s">
        <v>219</v>
      </c>
      <c r="D5" s="203"/>
    </row>
    <row r="6" spans="1:4" x14ac:dyDescent="0.2">
      <c r="A6" s="200"/>
      <c r="B6" s="201" t="s">
        <v>220</v>
      </c>
      <c r="C6" s="202" t="s">
        <v>221</v>
      </c>
      <c r="D6" s="203"/>
    </row>
    <row r="7" spans="1:4" x14ac:dyDescent="0.2">
      <c r="A7" s="200"/>
      <c r="B7" s="204" t="s">
        <v>222</v>
      </c>
      <c r="C7" s="204"/>
      <c r="D7" s="205"/>
    </row>
    <row r="8" spans="1:4" x14ac:dyDescent="0.2">
      <c r="A8" s="206" t="s">
        <v>223</v>
      </c>
      <c r="B8" s="207" t="s">
        <v>224</v>
      </c>
      <c r="C8" s="208" t="s">
        <v>225</v>
      </c>
      <c r="D8" s="209"/>
    </row>
    <row r="9" spans="1:4" ht="26" x14ac:dyDescent="0.2">
      <c r="A9" s="206"/>
      <c r="B9" s="207" t="s">
        <v>226</v>
      </c>
      <c r="C9" s="208" t="s">
        <v>227</v>
      </c>
      <c r="D9" s="209"/>
    </row>
    <row r="10" spans="1:4" x14ac:dyDescent="0.2">
      <c r="A10" s="206"/>
      <c r="B10" s="210" t="s">
        <v>222</v>
      </c>
      <c r="C10" s="210"/>
      <c r="D10" s="211"/>
    </row>
    <row r="11" spans="1:4" x14ac:dyDescent="0.2">
      <c r="A11" s="212" t="s">
        <v>228</v>
      </c>
      <c r="B11" s="213" t="s">
        <v>229</v>
      </c>
      <c r="C11" s="214" t="s">
        <v>230</v>
      </c>
      <c r="D11" s="215"/>
    </row>
    <row r="12" spans="1:4" x14ac:dyDescent="0.2">
      <c r="A12" s="212"/>
      <c r="B12" s="213" t="s">
        <v>231</v>
      </c>
      <c r="C12" s="214" t="s">
        <v>232</v>
      </c>
      <c r="D12" s="215"/>
    </row>
    <row r="13" spans="1:4" x14ac:dyDescent="0.2">
      <c r="A13" s="212"/>
      <c r="B13" s="213" t="s">
        <v>233</v>
      </c>
      <c r="C13" s="214" t="s">
        <v>234</v>
      </c>
      <c r="D13" s="215"/>
    </row>
    <row r="14" spans="1:4" x14ac:dyDescent="0.2">
      <c r="A14" s="212"/>
      <c r="B14" s="213" t="s">
        <v>235</v>
      </c>
      <c r="C14" s="214" t="s">
        <v>236</v>
      </c>
      <c r="D14" s="215"/>
    </row>
    <row r="15" spans="1:4" x14ac:dyDescent="0.2">
      <c r="A15" s="212"/>
      <c r="B15" s="213" t="s">
        <v>237</v>
      </c>
      <c r="C15" s="214" t="s">
        <v>238</v>
      </c>
      <c r="D15" s="215"/>
    </row>
    <row r="16" spans="1:4" x14ac:dyDescent="0.2">
      <c r="A16" s="212"/>
      <c r="B16" s="216" t="s">
        <v>222</v>
      </c>
      <c r="C16" s="216"/>
      <c r="D16" s="217"/>
    </row>
    <row r="17" spans="1:4" x14ac:dyDescent="0.2">
      <c r="A17" s="218" t="s">
        <v>239</v>
      </c>
      <c r="B17" s="219" t="s">
        <v>240</v>
      </c>
      <c r="C17" s="220" t="s">
        <v>241</v>
      </c>
      <c r="D17" s="221"/>
    </row>
    <row r="18" spans="1:4" x14ac:dyDescent="0.2">
      <c r="A18" s="218"/>
      <c r="B18" s="219" t="s">
        <v>242</v>
      </c>
      <c r="C18" s="220" t="s">
        <v>243</v>
      </c>
      <c r="D18" s="221"/>
    </row>
    <row r="19" spans="1:4" x14ac:dyDescent="0.2">
      <c r="A19" s="218"/>
      <c r="B19" s="219" t="s">
        <v>244</v>
      </c>
      <c r="C19" s="220" t="s">
        <v>245</v>
      </c>
      <c r="D19" s="221"/>
    </row>
    <row r="20" spans="1:4" x14ac:dyDescent="0.2">
      <c r="A20" s="218"/>
      <c r="B20" s="219" t="s">
        <v>246</v>
      </c>
      <c r="C20" s="220" t="s">
        <v>247</v>
      </c>
      <c r="D20" s="221"/>
    </row>
    <row r="21" spans="1:4" x14ac:dyDescent="0.2">
      <c r="A21" s="218"/>
      <c r="B21" s="219" t="s">
        <v>248</v>
      </c>
      <c r="C21" s="220" t="s">
        <v>127</v>
      </c>
      <c r="D21" s="221"/>
    </row>
    <row r="22" spans="1:4" x14ac:dyDescent="0.2">
      <c r="A22" s="218"/>
      <c r="B22" s="222" t="s">
        <v>222</v>
      </c>
      <c r="C22" s="222"/>
      <c r="D22" s="223"/>
    </row>
    <row r="23" spans="1:4" x14ac:dyDescent="0.2">
      <c r="A23" s="224" t="s">
        <v>249</v>
      </c>
      <c r="B23" s="225" t="s">
        <v>250</v>
      </c>
      <c r="C23" s="226" t="s">
        <v>251</v>
      </c>
      <c r="D23" s="227"/>
    </row>
    <row r="24" spans="1:4" x14ac:dyDescent="0.2">
      <c r="A24" s="224"/>
      <c r="B24" s="225" t="s">
        <v>252</v>
      </c>
      <c r="C24" s="226" t="s">
        <v>253</v>
      </c>
      <c r="D24" s="227"/>
    </row>
    <row r="25" spans="1:4" x14ac:dyDescent="0.2">
      <c r="A25" s="224"/>
      <c r="B25" s="225" t="s">
        <v>254</v>
      </c>
      <c r="C25" s="226" t="s">
        <v>255</v>
      </c>
      <c r="D25" s="227"/>
    </row>
    <row r="26" spans="1:4" x14ac:dyDescent="0.2">
      <c r="A26" s="224"/>
      <c r="B26" s="225" t="s">
        <v>256</v>
      </c>
      <c r="C26" s="226" t="s">
        <v>257</v>
      </c>
      <c r="D26" s="227"/>
    </row>
    <row r="27" spans="1:4" x14ac:dyDescent="0.2">
      <c r="A27" s="224"/>
      <c r="B27" s="228" t="s">
        <v>222</v>
      </c>
      <c r="C27" s="228"/>
      <c r="D27" s="229"/>
    </row>
    <row r="28" spans="1:4" x14ac:dyDescent="0.2">
      <c r="A28" s="230" t="s">
        <v>258</v>
      </c>
      <c r="B28" s="231" t="s">
        <v>259</v>
      </c>
      <c r="C28" s="232" t="s">
        <v>260</v>
      </c>
      <c r="D28" s="233"/>
    </row>
    <row r="29" spans="1:4" x14ac:dyDescent="0.2">
      <c r="A29" s="230"/>
      <c r="B29" s="234" t="s">
        <v>222</v>
      </c>
      <c r="C29" s="234"/>
      <c r="D29" s="235"/>
    </row>
    <row r="30" spans="1:4" x14ac:dyDescent="0.2">
      <c r="A30" s="236"/>
      <c r="B30" s="236"/>
      <c r="C30" s="236"/>
      <c r="D30" s="236"/>
    </row>
    <row r="31" spans="1:4" x14ac:dyDescent="0.2">
      <c r="A31" s="237"/>
      <c r="B31" s="238" t="s">
        <v>11</v>
      </c>
      <c r="C31" s="239"/>
      <c r="D31" s="240"/>
    </row>
  </sheetData>
  <mergeCells count="13">
    <mergeCell ref="B31:C31"/>
    <mergeCell ref="A17:A22"/>
    <mergeCell ref="B22:C22"/>
    <mergeCell ref="A23:A27"/>
    <mergeCell ref="B27:C27"/>
    <mergeCell ref="A28:A29"/>
    <mergeCell ref="B29:C29"/>
    <mergeCell ref="A2:A7"/>
    <mergeCell ref="B7:C7"/>
    <mergeCell ref="A8:A10"/>
    <mergeCell ref="B10:C10"/>
    <mergeCell ref="A11:A16"/>
    <mergeCell ref="B16:C1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3BC13-1525-4CFA-A666-9C39C7AD76DD}">
  <sheetPr codeName="Feuil6"/>
  <dimension ref="A2:B4"/>
  <sheetViews>
    <sheetView workbookViewId="0">
      <selection activeCell="I10" sqref="I10"/>
    </sheetView>
  </sheetViews>
  <sheetFormatPr baseColWidth="10" defaultRowHeight="16" x14ac:dyDescent="0.2"/>
  <cols>
    <col min="1" max="1" width="26" bestFit="1" customWidth="1"/>
  </cols>
  <sheetData>
    <row r="2" spans="1:2" x14ac:dyDescent="0.2">
      <c r="B2" t="s">
        <v>3</v>
      </c>
    </row>
    <row r="3" spans="1:2" x14ac:dyDescent="0.2">
      <c r="A3" t="s">
        <v>1</v>
      </c>
      <c r="B3" s="1">
        <v>697368.09655172401</v>
      </c>
    </row>
    <row r="4" spans="1:2" x14ac:dyDescent="0.2">
      <c r="A4" t="s">
        <v>2</v>
      </c>
      <c r="B4" s="1">
        <v>25061.399999999998</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59383-7914-4C5B-B1BE-78F9E30A438F}">
  <sheetPr codeName="Feuil7"/>
  <dimension ref="A1:K7"/>
  <sheetViews>
    <sheetView workbookViewId="0">
      <selection activeCell="J2" sqref="J2:K7"/>
    </sheetView>
  </sheetViews>
  <sheetFormatPr baseColWidth="10" defaultRowHeight="16" x14ac:dyDescent="0.2"/>
  <cols>
    <col min="1" max="1" width="13.140625" bestFit="1" customWidth="1"/>
    <col min="10" max="10" width="31" bestFit="1" customWidth="1"/>
  </cols>
  <sheetData>
    <row r="1" spans="1:11" x14ac:dyDescent="0.2">
      <c r="B1" t="s">
        <v>3</v>
      </c>
    </row>
    <row r="2" spans="1:11" x14ac:dyDescent="0.2">
      <c r="A2" t="s">
        <v>16</v>
      </c>
      <c r="B2" s="1">
        <v>21356.154999999995</v>
      </c>
      <c r="J2" t="s">
        <v>19</v>
      </c>
      <c r="K2" s="1">
        <v>14400</v>
      </c>
    </row>
    <row r="3" spans="1:11" x14ac:dyDescent="0.2">
      <c r="A3" t="s">
        <v>15</v>
      </c>
      <c r="B3" s="1">
        <v>426479.19</v>
      </c>
      <c r="J3" t="s">
        <v>20</v>
      </c>
      <c r="K3" s="1">
        <v>1950</v>
      </c>
    </row>
    <row r="4" spans="1:11" x14ac:dyDescent="0.2">
      <c r="A4" t="s">
        <v>25</v>
      </c>
      <c r="B4" s="1">
        <v>76511</v>
      </c>
      <c r="J4" t="s">
        <v>27</v>
      </c>
      <c r="K4" s="1">
        <v>191224.51799999998</v>
      </c>
    </row>
    <row r="5" spans="1:11" x14ac:dyDescent="0.2">
      <c r="J5" t="s">
        <v>31</v>
      </c>
      <c r="K5" s="1">
        <v>141120</v>
      </c>
    </row>
    <row r="6" spans="1:11" x14ac:dyDescent="0.2">
      <c r="J6" t="s">
        <v>32</v>
      </c>
      <c r="K6" s="1">
        <v>77280</v>
      </c>
    </row>
    <row r="7" spans="1:11" x14ac:dyDescent="0.2">
      <c r="J7" t="s">
        <v>26</v>
      </c>
      <c r="K7" s="1">
        <v>504.67200000000003</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C8FA0-2AD7-4493-BC73-528C96B73F83}">
  <sheetPr codeName="Feuil8"/>
  <dimension ref="A1:C4"/>
  <sheetViews>
    <sheetView workbookViewId="0">
      <selection activeCell="C3" sqref="C3"/>
    </sheetView>
  </sheetViews>
  <sheetFormatPr baseColWidth="10" defaultRowHeight="16" x14ac:dyDescent="0.2"/>
  <cols>
    <col min="1" max="1" width="26.28515625" bestFit="1" customWidth="1"/>
  </cols>
  <sheetData>
    <row r="1" spans="1:3" x14ac:dyDescent="0.2">
      <c r="A1" t="s">
        <v>6</v>
      </c>
    </row>
    <row r="2" spans="1:3" x14ac:dyDescent="0.2">
      <c r="B2" t="s">
        <v>3</v>
      </c>
      <c r="C2" t="s">
        <v>8</v>
      </c>
    </row>
    <row r="3" spans="1:3" x14ac:dyDescent="0.2">
      <c r="A3" t="s">
        <v>7</v>
      </c>
      <c r="B3" s="1">
        <v>11026.125</v>
      </c>
      <c r="C3" s="1">
        <v>5445</v>
      </c>
    </row>
    <row r="4" spans="1:3" x14ac:dyDescent="0.2">
      <c r="A4" t="s">
        <v>10</v>
      </c>
      <c r="B4" s="1">
        <v>289712.71999999991</v>
      </c>
      <c r="C4" s="1">
        <v>605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9"/>
  <dimension ref="A1:B4"/>
  <sheetViews>
    <sheetView workbookViewId="0">
      <selection activeCell="C19" sqref="C19"/>
    </sheetView>
  </sheetViews>
  <sheetFormatPr baseColWidth="10" defaultColWidth="9.140625" defaultRowHeight="16" x14ac:dyDescent="0.2"/>
  <cols>
    <col min="1" max="1" width="26" bestFit="1" customWidth="1"/>
    <col min="2" max="2" width="10.140625" bestFit="1" customWidth="1"/>
  </cols>
  <sheetData>
    <row r="1" spans="1:2" x14ac:dyDescent="0.2">
      <c r="A1" t="s">
        <v>0</v>
      </c>
    </row>
    <row r="2" spans="1:2" x14ac:dyDescent="0.2">
      <c r="B2" t="s">
        <v>3</v>
      </c>
    </row>
    <row r="3" spans="1:2" x14ac:dyDescent="0.2">
      <c r="A3" t="s">
        <v>1</v>
      </c>
      <c r="B3" s="1">
        <v>930878.74068965507</v>
      </c>
    </row>
    <row r="4" spans="1:2" x14ac:dyDescent="0.2">
      <c r="A4" t="s">
        <v>2</v>
      </c>
      <c r="B4" s="1">
        <v>7889.7</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383BD-578C-42D2-AA77-DFA5A51ABC39}">
  <sheetPr codeName="Feuil10"/>
  <dimension ref="A1:D19"/>
  <sheetViews>
    <sheetView workbookViewId="0">
      <selection activeCell="A14" sqref="A14:B19"/>
    </sheetView>
  </sheetViews>
  <sheetFormatPr baseColWidth="10" defaultRowHeight="16" x14ac:dyDescent="0.2"/>
  <cols>
    <col min="1" max="1" width="34.140625" bestFit="1" customWidth="1"/>
  </cols>
  <sheetData>
    <row r="1" spans="1:4" x14ac:dyDescent="0.2">
      <c r="A1" t="s">
        <v>4</v>
      </c>
    </row>
    <row r="2" spans="1:4" x14ac:dyDescent="0.2">
      <c r="B2" t="s">
        <v>3</v>
      </c>
      <c r="C2" t="s">
        <v>5</v>
      </c>
    </row>
    <row r="3" spans="1:4" x14ac:dyDescent="0.2">
      <c r="A3" t="s">
        <v>16</v>
      </c>
      <c r="B3" s="1">
        <v>108631.02402</v>
      </c>
      <c r="C3" s="3">
        <f>B3/$B$6</f>
        <v>0.1289443854520381</v>
      </c>
    </row>
    <row r="4" spans="1:4" x14ac:dyDescent="0.2">
      <c r="A4" t="s">
        <v>15</v>
      </c>
      <c r="B4" s="1">
        <v>571020</v>
      </c>
      <c r="C4" s="3">
        <f t="shared" ref="C4:C6" si="0">B4/$B$6</f>
        <v>0.67779737552015396</v>
      </c>
    </row>
    <row r="5" spans="1:4" x14ac:dyDescent="0.2">
      <c r="A5" t="s">
        <v>17</v>
      </c>
      <c r="B5" s="1">
        <v>162813.14097000004</v>
      </c>
      <c r="C5" s="3">
        <f t="shared" si="0"/>
        <v>0.19325823902780792</v>
      </c>
    </row>
    <row r="6" spans="1:4" x14ac:dyDescent="0.2">
      <c r="B6" s="2">
        <f>SUM(B3:B5)</f>
        <v>842464.16499000008</v>
      </c>
      <c r="C6" s="3">
        <f t="shared" si="0"/>
        <v>1</v>
      </c>
    </row>
    <row r="14" spans="1:4" x14ac:dyDescent="0.2">
      <c r="A14" t="s">
        <v>19</v>
      </c>
      <c r="B14" s="1">
        <v>34800</v>
      </c>
    </row>
    <row r="15" spans="1:4" x14ac:dyDescent="0.2">
      <c r="A15" t="s">
        <v>20</v>
      </c>
      <c r="B15" s="1">
        <v>1950</v>
      </c>
    </row>
    <row r="16" spans="1:4" x14ac:dyDescent="0.2">
      <c r="A16" t="s">
        <v>27</v>
      </c>
      <c r="B16" s="1">
        <v>97470</v>
      </c>
      <c r="C16" s="1"/>
      <c r="D16" s="1"/>
    </row>
    <row r="17" spans="1:2" x14ac:dyDescent="0.2">
      <c r="A17" t="s">
        <v>29</v>
      </c>
      <c r="B17" s="1">
        <v>208320</v>
      </c>
    </row>
    <row r="18" spans="1:2" x14ac:dyDescent="0.2">
      <c r="A18" t="s">
        <v>30</v>
      </c>
      <c r="B18" s="1">
        <v>228480</v>
      </c>
    </row>
    <row r="19" spans="1:2" x14ac:dyDescent="0.2">
      <c r="A19" t="s">
        <v>26</v>
      </c>
      <c r="B19" s="1">
        <v>358.80599999999998</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AE209-5354-4C8E-8E19-CA65F3DE2793}">
  <sheetPr codeName="Feuil11"/>
  <dimension ref="A1:C6"/>
  <sheetViews>
    <sheetView workbookViewId="0">
      <selection activeCell="C19" sqref="C19"/>
    </sheetView>
  </sheetViews>
  <sheetFormatPr baseColWidth="10" defaultRowHeight="16" x14ac:dyDescent="0.2"/>
  <cols>
    <col min="1" max="1" width="26.28515625" bestFit="1" customWidth="1"/>
  </cols>
  <sheetData>
    <row r="1" spans="1:3" x14ac:dyDescent="0.2">
      <c r="A1" t="s">
        <v>6</v>
      </c>
    </row>
    <row r="2" spans="1:3" x14ac:dyDescent="0.2">
      <c r="B2" t="s">
        <v>3</v>
      </c>
      <c r="C2" t="s">
        <v>8</v>
      </c>
    </row>
    <row r="3" spans="1:3" x14ac:dyDescent="0.2">
      <c r="A3" t="s">
        <v>7</v>
      </c>
      <c r="B3">
        <v>48.6</v>
      </c>
      <c r="C3" s="4">
        <v>0.9</v>
      </c>
    </row>
    <row r="4" spans="1:3" x14ac:dyDescent="0.2">
      <c r="A4" t="s">
        <v>10</v>
      </c>
      <c r="B4">
        <v>83.04</v>
      </c>
      <c r="C4" s="4">
        <v>0.1</v>
      </c>
    </row>
    <row r="6" spans="1:3" x14ac:dyDescent="0.2">
      <c r="A6" t="s">
        <v>9</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D6E2B-B6E9-4ED9-B8BD-EEB492E215D0}">
  <sheetPr codeName="Feuil12"/>
  <dimension ref="A1:B4"/>
  <sheetViews>
    <sheetView workbookViewId="0">
      <selection activeCell="C19" sqref="C19"/>
    </sheetView>
  </sheetViews>
  <sheetFormatPr baseColWidth="10" defaultRowHeight="16" x14ac:dyDescent="0.2"/>
  <cols>
    <col min="1" max="1" width="22.7109375" bestFit="1" customWidth="1"/>
  </cols>
  <sheetData>
    <row r="1" spans="1:2" x14ac:dyDescent="0.2">
      <c r="A1" t="s">
        <v>12</v>
      </c>
    </row>
    <row r="2" spans="1:2" x14ac:dyDescent="0.2">
      <c r="B2" t="s">
        <v>3</v>
      </c>
    </row>
    <row r="3" spans="1:2" x14ac:dyDescent="0.2">
      <c r="A3" t="s">
        <v>1</v>
      </c>
      <c r="B3" s="1">
        <v>120202.83994917982</v>
      </c>
    </row>
    <row r="4" spans="1:2" x14ac:dyDescent="0.2">
      <c r="A4" t="s">
        <v>13</v>
      </c>
      <c r="B4" s="1">
        <v>14335.935657760689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68673-10C6-4A30-B889-2611A681C15E}">
  <sheetPr codeName="Feuil13"/>
  <dimension ref="A1:L7"/>
  <sheetViews>
    <sheetView topLeftCell="D1" zoomScale="115" zoomScaleNormal="115" workbookViewId="0">
      <selection activeCell="J2" sqref="J2:K7"/>
    </sheetView>
  </sheetViews>
  <sheetFormatPr baseColWidth="10" defaultRowHeight="16" x14ac:dyDescent="0.2"/>
  <cols>
    <col min="1" max="1" width="13.7109375" bestFit="1" customWidth="1"/>
    <col min="10" max="10" width="31" bestFit="1" customWidth="1"/>
  </cols>
  <sheetData>
    <row r="1" spans="1:12" x14ac:dyDescent="0.2">
      <c r="A1" t="s">
        <v>14</v>
      </c>
      <c r="J1" t="s">
        <v>18</v>
      </c>
      <c r="K1" t="s">
        <v>3</v>
      </c>
    </row>
    <row r="2" spans="1:12" x14ac:dyDescent="0.2">
      <c r="B2" t="s">
        <v>3</v>
      </c>
      <c r="J2" t="s">
        <v>19</v>
      </c>
      <c r="K2" s="1">
        <v>15600</v>
      </c>
    </row>
    <row r="3" spans="1:12" x14ac:dyDescent="0.2">
      <c r="A3" t="s">
        <v>16</v>
      </c>
      <c r="B3" s="1">
        <v>13575.984</v>
      </c>
      <c r="J3" t="s">
        <v>20</v>
      </c>
      <c r="K3" s="1">
        <v>2340</v>
      </c>
    </row>
    <row r="4" spans="1:12" x14ac:dyDescent="0.2">
      <c r="A4" t="s">
        <v>15</v>
      </c>
      <c r="B4" s="1">
        <v>669322.67099999997</v>
      </c>
      <c r="J4" t="s">
        <v>21</v>
      </c>
      <c r="K4" s="1">
        <v>52470</v>
      </c>
    </row>
    <row r="5" spans="1:12" x14ac:dyDescent="0.2">
      <c r="A5" t="s">
        <v>17</v>
      </c>
      <c r="B5" s="1">
        <v>89521.690429999988</v>
      </c>
      <c r="J5" t="s">
        <v>31</v>
      </c>
      <c r="K5" s="1">
        <v>288960</v>
      </c>
    </row>
    <row r="6" spans="1:12" x14ac:dyDescent="0.2">
      <c r="B6" s="2">
        <f>SUM(B3:B5)</f>
        <v>772420.34542999999</v>
      </c>
      <c r="J6" t="s">
        <v>32</v>
      </c>
      <c r="K6" s="1">
        <v>309120</v>
      </c>
      <c r="L6" s="1"/>
    </row>
    <row r="7" spans="1:12" x14ac:dyDescent="0.2">
      <c r="J7" t="s">
        <v>28</v>
      </c>
      <c r="K7" s="1">
        <v>832.67100000000005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09615-B799-4AC2-BD45-602B006D0294}">
  <sheetPr codeName="Feuil14"/>
  <dimension ref="A1:B7"/>
  <sheetViews>
    <sheetView workbookViewId="0">
      <selection activeCell="C19" sqref="C19"/>
    </sheetView>
  </sheetViews>
  <sheetFormatPr baseColWidth="10" defaultRowHeight="16" x14ac:dyDescent="0.2"/>
  <cols>
    <col min="1" max="1" width="16.85546875" bestFit="1" customWidth="1"/>
    <col min="2" max="2" width="9.42578125" bestFit="1" customWidth="1"/>
  </cols>
  <sheetData>
    <row r="1" spans="1:2" x14ac:dyDescent="0.2">
      <c r="A1" t="s">
        <v>22</v>
      </c>
    </row>
    <row r="3" spans="1:2" x14ac:dyDescent="0.2">
      <c r="A3" t="s">
        <v>23</v>
      </c>
      <c r="B3" s="1">
        <v>1098.30252</v>
      </c>
    </row>
    <row r="4" spans="1:2" x14ac:dyDescent="0.2">
      <c r="A4" t="s">
        <v>24</v>
      </c>
      <c r="B4" s="1">
        <v>155213.79298424997</v>
      </c>
    </row>
    <row r="6" spans="1:2" x14ac:dyDescent="0.2">
      <c r="A6" t="s">
        <v>23</v>
      </c>
      <c r="B6">
        <v>568.54869224999993</v>
      </c>
    </row>
    <row r="7" spans="1:2" x14ac:dyDescent="0.2">
      <c r="A7" t="s">
        <v>24</v>
      </c>
      <c r="B7">
        <v>39.225090000000002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19</vt:i4>
      </vt:variant>
    </vt:vector>
  </HeadingPairs>
  <TitlesOfParts>
    <vt:vector size="19" baseType="lpstr">
      <vt:lpstr>INITIALISATION</vt:lpstr>
      <vt:lpstr>DATA</vt:lpstr>
      <vt:lpstr>Indicateurs</vt:lpstr>
      <vt:lpstr>Global</vt:lpstr>
      <vt:lpstr>LOT 1</vt:lpstr>
      <vt:lpstr>LOT 2</vt:lpstr>
      <vt:lpstr>LOT 3</vt:lpstr>
      <vt:lpstr>Par poste - avec chauffage</vt:lpstr>
      <vt:lpstr>TEXTE_RAPPORT</vt:lpstr>
      <vt:lpstr>BEGES</vt:lpstr>
      <vt:lpstr>LOT 3 - Utilisation</vt:lpstr>
      <vt:lpstr>LOT 3 - Achats</vt:lpstr>
      <vt:lpstr>LOT 3 - Déchets</vt:lpstr>
      <vt:lpstr>LOT 1 - Utilisation</vt:lpstr>
      <vt:lpstr>LOT 1 - Achats</vt:lpstr>
      <vt:lpstr>LOT 1 - Déchets</vt:lpstr>
      <vt:lpstr>LOT 2 - Utilisation </vt:lpstr>
      <vt:lpstr>LOT 2 - ACHATS</vt:lpstr>
      <vt:lpstr>LOT 2 - Hors Energie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Hugo Astier</dc:creator>
  <cp:lastModifiedBy>Arthur Dercq</cp:lastModifiedBy>
  <dcterms:created xsi:type="dcterms:W3CDTF">2015-06-05T18:19:34Z</dcterms:created>
  <dcterms:modified xsi:type="dcterms:W3CDTF">2026-01-29T16:47:45Z</dcterms:modified>
</cp:coreProperties>
</file>